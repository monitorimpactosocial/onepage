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CAT_AREAS" sheetId="3" state="visible" r:id="rId3"/>
    <sheet xmlns:r="http://schemas.openxmlformats.org/officeDocument/2006/relationships" name="CAT_USUARIOS" sheetId="4" state="visible" r:id="rId4"/>
    <sheet xmlns:r="http://schemas.openxmlformats.org/officeDocument/2006/relationships" name="CAT_PERIODOS" sheetId="5" state="visible" r:id="rId5"/>
    <sheet xmlns:r="http://schemas.openxmlformats.org/officeDocument/2006/relationships" name="CAT_PREGUNTAS" sheetId="6" state="visible" r:id="rId6"/>
    <sheet xmlns:r="http://schemas.openxmlformats.org/officeDocument/2006/relationships" name="VALIDACIONES" sheetId="7" state="hidden" r:id="rId7"/>
    <sheet xmlns:r="http://schemas.openxmlformats.org/officeDocument/2006/relationships" name="MAPEO_ORIGINAL" sheetId="8" state="visible" r:id="rId8"/>
    <sheet xmlns:r="http://schemas.openxmlformats.org/officeDocument/2006/relationships" name="RESPUESTAS" sheetId="9" state="visible" r:id="rId9"/>
    <sheet xmlns:r="http://schemas.openxmlformats.org/officeDocument/2006/relationships" name="ENVIOS" sheetId="10" state="visible" r:id="rId10"/>
    <sheet xmlns:r="http://schemas.openxmlformats.org/officeDocument/2006/relationships" name="DET_TH_AREA" sheetId="11" state="visible" r:id="rId11"/>
    <sheet xmlns:r="http://schemas.openxmlformats.org/officeDocument/2006/relationships" name="DET_TH_SEXO" sheetId="12" state="visible" r:id="rId12"/>
    <sheet xmlns:r="http://schemas.openxmlformats.org/officeDocument/2006/relationships" name="DET_TH_DEPARTAMENTO" sheetId="13" state="visible" r:id="rId13"/>
    <sheet xmlns:r="http://schemas.openxmlformats.org/officeDocument/2006/relationships" name="DET_SSL" sheetId="14" state="visible" r:id="rId14"/>
    <sheet xmlns:r="http://schemas.openxmlformats.org/officeDocument/2006/relationships" name="DET_FORESTAL_OPER" sheetId="15" state="visible" r:id="rId15"/>
    <sheet xmlns:r="http://schemas.openxmlformats.org/officeDocument/2006/relationships" name="DET_FINANZAS_TIERRAS" sheetId="16" state="visible" r:id="rId16"/>
    <sheet xmlns:r="http://schemas.openxmlformats.org/officeDocument/2006/relationships" name="DET_FINANZAS_PRESUPUESTO" sheetId="17" state="visible" r:id="rId17"/>
    <sheet xmlns:r="http://schemas.openxmlformats.org/officeDocument/2006/relationships" name="DET_COMPRAS" sheetId="18" state="visible" r:id="rId18"/>
    <sheet xmlns:r="http://schemas.openxmlformats.org/officeDocument/2006/relationships" name="DET_LOGISTICA" sheetId="19" state="visible" r:id="rId19"/>
    <sheet xmlns:r="http://schemas.openxmlformats.org/officeDocument/2006/relationships" name="DET_AMBIENTAL" sheetId="20" state="visible" r:id="rId20"/>
    <sheet xmlns:r="http://schemas.openxmlformats.org/officeDocument/2006/relationships" name="DET_SOCIAL_QCS" sheetId="21" state="visible" r:id="rId21"/>
    <sheet xmlns:r="http://schemas.openxmlformats.org/officeDocument/2006/relationships" name="DET_SOCIAL_REDES" sheetId="22" state="visible" r:id="rId22"/>
    <sheet xmlns:r="http://schemas.openxmlformats.org/officeDocument/2006/relationships" name="DET_SOCIAL_WEB" sheetId="23" state="visible" r:id="rId23"/>
    <sheet xmlns:r="http://schemas.openxmlformats.org/officeDocument/2006/relationships" name="DET_SOCIAL_PROGRAMAS" sheetId="24" state="visible" r:id="rId24"/>
    <sheet xmlns:r="http://schemas.openxmlformats.org/officeDocument/2006/relationships" name="KPIS_MENSUALES" sheetId="25" state="visible" r:id="rId25"/>
    <sheet xmlns:r="http://schemas.openxmlformats.org/officeDocument/2006/relationships" name="DASHBOARD" sheetId="26" state="visible" r:id="rId26"/>
    <sheet xmlns:r="http://schemas.openxmlformats.org/officeDocument/2006/relationships" name="EXPORT_APP" sheetId="27" state="visible" r:id="rId27"/>
    <sheet xmlns:r="http://schemas.openxmlformats.org/officeDocument/2006/relationships" name="CAT_LISTAS" sheetId="28" state="visible" r:id="rId28"/>
    <sheet xmlns:r="http://schemas.openxmlformats.org/officeDocument/2006/relationships" name="ADJUNTOS" sheetId="29" state="visible" r:id="rId29"/>
    <sheet xmlns:r="http://schemas.openxmlformats.org/officeDocument/2006/relationships" name="NARRATIVAS" sheetId="30" state="visible" r:id="rId30"/>
    <sheet xmlns:r="http://schemas.openxmlformats.org/officeDocument/2006/relationships" name="CAT_SETTINGS" sheetId="31" state="visible" r:id="rId31"/>
  </sheets>
  <definedNames>
    <definedName name="ROLES">VALIDACIONES!$A$4:$A$5</definedName>
    <definedName name="SI_NO">VALIDACIONES!$B$4:$B$5</definedName>
    <definedName name="STATUS_ENVIO">VALIDACIONES!$C$4:$C$7</definedName>
    <definedName name="BUSINESS_UNIT">VALIDACIONES!$D$4:$D$6</definedName>
    <definedName name="AREAS_PARACEL">VALIDACIONES!$E$4:$E$17</definedName>
    <definedName name="DEPARTAMENTOS">VALIDACIONES!$F$4:$F$21</definedName>
    <definedName name="CONTRACTORS">VALIDACIONES!$G$4:$G$11</definedName>
    <definedName name="LAND_STATES">VALIDACIONES!$H$4:$H$6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00000"/>
    </font>
    <font>
      <b val="1"/>
      <sz val="16"/>
    </font>
    <font>
      <b val="1"/>
      <color rgb="00FFFFFF"/>
    </font>
    <font>
      <b val="1"/>
      <sz val="2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top style="thin">
        <color rgb="00C7CDD1"/>
      </top>
      <bottom style="thin">
        <color rgb="00C7CDD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0" fontId="0" fillId="5" borderId="1" pivotButton="0" quotePrefix="0" xfId="0"/>
    <xf numFmtId="3" fontId="0" fillId="6" borderId="1" pivotButton="0" quotePrefix="0" xfId="0"/>
    <xf numFmtId="4" fontId="0" fillId="6" borderId="1" pivotButton="0" quotePrefix="0" xfId="0"/>
    <xf numFmtId="2" fontId="0" fillId="6" borderId="1" pivotButton="0" quotePrefix="0" xfId="0"/>
    <xf numFmtId="165" fontId="0" fillId="6" borderId="1" pivotButton="0" quotePrefix="0" xfId="0"/>
    <xf numFmtId="0" fontId="2" fillId="3" borderId="0" pivotButton="0" quotePrefix="0" xfId="0"/>
    <xf numFmtId="0" fontId="0" fillId="5" borderId="0" pivotButton="0" quotePrefix="0" xfId="0"/>
    <xf numFmtId="0" fontId="2" fillId="3" borderId="1" applyAlignment="1" pivotButton="0" quotePrefix="0" xfId="0">
      <alignment horizontal="center"/>
    </xf>
    <xf numFmtId="3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0" borderId="1" applyAlignment="1" pivotButton="0" quotePrefix="0" xfId="0">
      <alignment vertical="top"/>
    </xf>
    <xf numFmtId="165" fontId="0" fillId="0" borderId="1" pivotButton="0" quotePrefix="0" xfId="0"/>
    <xf numFmtId="165" fontId="0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3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vertical="center"/>
    </xf>
    <xf numFmtId="0" fontId="4" fillId="2" borderId="1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Seguidores en redes</a:t>
            </a:r>
          </a:p>
        </rich>
      </tx>
    </title>
    <plotArea>
      <lineChart>
        <grouping val="standard"/>
        <ser>
          <idx val="0"/>
          <order val="0"/>
          <tx>
            <strRef>
              <f>'KPIS_MENSUALES'!B20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'KPIS_MENSUALES'!$A$21:$A$56</f>
            </numRef>
          </cat>
          <val>
            <numRef>
              <f>'KPIS_MENSUALES'!$B$21:$B$56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Seguidores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Visitas web</a:t>
            </a:r>
          </a:p>
        </rich>
      </tx>
    </title>
    <plotArea>
      <lineChart>
        <grouping val="standard"/>
        <ser>
          <idx val="0"/>
          <order val="0"/>
          <tx>
            <strRef>
              <f>'KPIS_MENSUALES'!C20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'KPIS_MENSUALES'!$A$21:$A$56</f>
            </numRef>
          </cat>
          <val>
            <numRef>
              <f>'KPIS_MENSUALES'!$C$21:$C$56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Visitas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Plantación acumulada y cumplimiento ambiental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'KPIS_MENSUALES'!D20</f>
            </strRef>
          </tx>
          <spPr>
            <a:ln xmlns:a="http://schemas.openxmlformats.org/drawingml/2006/main">
              <a:prstDash val="solid"/>
            </a:ln>
          </spPr>
          <cat>
            <numRef>
              <f>'KPIS_MENSUALES'!$A$21:$A$56</f>
            </numRef>
          </cat>
          <val>
            <numRef>
              <f>'KPIS_MENSUALES'!$D$21:$D$56</f>
            </numRef>
          </val>
        </ser>
        <ser>
          <idx val="1"/>
          <order val="1"/>
          <tx>
            <strRef>
              <f>'KPIS_MENSUALES'!E20</f>
            </strRef>
          </tx>
          <spPr>
            <a:ln xmlns:a="http://schemas.openxmlformats.org/drawingml/2006/main">
              <a:prstDash val="solid"/>
            </a:ln>
          </spPr>
          <cat>
            <numRef>
              <f>'KPIS_MENSUALES'!$A$21:$A$56</f>
            </numRef>
          </cat>
          <val>
            <numRef>
              <f>'KPIS_MENSUALES'!$E$21:$E$56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Descuento general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'KPIS_MENSUALES'!F20</f>
            </strRef>
          </tx>
          <spPr>
            <a:ln xmlns:a="http://schemas.openxmlformats.org/drawingml/2006/main">
              <a:prstDash val="solid"/>
            </a:ln>
          </spPr>
          <cat>
            <numRef>
              <f>'KPIS_MENSUALES'!$A$21:$A$56</f>
            </numRef>
          </cat>
          <val>
            <numRef>
              <f>'KPIS_MENSUALES'!$F$21:$F$56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2095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14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29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29</row>
      <rowOff>0</rowOff>
    </from>
    <ext cx="36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cat_areas" displayName="tbl_cat_areas" ref="A4:H14" headerRowCount="1">
  <autoFilter ref="A4:H14"/>
  <tableColumns count="8">
    <tableColumn id="1" name="area_code"/>
    <tableColumn id="2" name="area_name"/>
    <tableColumn id="3" name="group"/>
    <tableColumn id="4" name="responsible"/>
    <tableColumn id="5" name="email"/>
    <tableColumn id="6" name="source_sheet"/>
    <tableColumn id="7" name="description"/>
    <tableColumn id="8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at_usuarios" displayName="tbl_cat_usuarios" ref="A4:G15" headerRowCount="1">
  <autoFilter ref="A4:G15"/>
  <tableColumns count="7">
    <tableColumn id="1" name="username"/>
    <tableColumn id="2" name="full_name"/>
    <tableColumn id="3" name="email"/>
    <tableColumn id="4" name="role"/>
    <tableColumn id="5" name="area_code"/>
    <tableColumn id="6" name="active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at_periodos" displayName="tbl_cat_periodos" ref="A4:H64" headerRowCount="1">
  <autoFilter ref="A4:H64"/>
  <tableColumns count="8">
    <tableColumn id="1" name="period_date"/>
    <tableColumn id="2" name="period_key"/>
    <tableColumn id="3" name="year"/>
    <tableColumn id="4" name="month_no"/>
    <tableColumn id="5" name="month_name_es"/>
    <tableColumn id="6" name="month_title_es"/>
    <tableColumn id="7" name="reminder_date"/>
    <tableColumn id="8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at_preguntas" displayName="tbl_cat_preguntas" ref="A4:O91" headerRowCount="1">
  <autoFilter ref="A4:O91"/>
  <tableColumns count="15">
    <tableColumn id="1" name="question_id"/>
    <tableColumn id="2" name="area_code"/>
    <tableColumn id="3" name="form_code"/>
    <tableColumn id="4" name="section"/>
    <tableColumn id="5" name="group_key"/>
    <tableColumn id="6" name="question_code"/>
    <tableColumn id="7" name="label"/>
    <tableColumn id="8" name="input_type"/>
    <tableColumn id="9" name="unit"/>
    <tableColumn id="10" name="required"/>
    <tableColumn id="11" name="allow_observation"/>
    <tableColumn id="12" name="order_n"/>
    <tableColumn id="13" name="options"/>
    <tableColumn id="14" name="source_sheet"/>
    <tableColumn id="1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mapeo" displayName="tbl_mapeo" ref="A4:D14" headerRowCount="1">
  <autoFilter ref="A4:D14"/>
  <tableColumns count="4">
    <tableColumn id="1" name="source_sheet_original"/>
    <tableColumn id="2" name="area_code"/>
    <tableColumn id="3" name="area_name"/>
    <tableColumn id="4" name="sco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respuestas" displayName="tbl_respuestas" ref="A4:U86" headerRowCount="1">
  <autoFilter ref="A4:U86"/>
  <tableColumns count="21">
    <tableColumn id="1" name="response_id"/>
    <tableColumn id="2" name="submission_id"/>
    <tableColumn id="3" name="period_key"/>
    <tableColumn id="4" name="period_date"/>
    <tableColumn id="5" name="area_code"/>
    <tableColumn id="6" name="form_code"/>
    <tableColumn id="7" name="section"/>
    <tableColumn id="8" name="group_key"/>
    <tableColumn id="9" name="row_key"/>
    <tableColumn id="10" name="question_id"/>
    <tableColumn id="11" name="question_label"/>
    <tableColumn id="12" name="value_type"/>
    <tableColumn id="13" name="value_num"/>
    <tableColumn id="14" name="value_text"/>
    <tableColumn id="15" name="value_date"/>
    <tableColumn id="16" name="value_bool"/>
    <tableColumn id="17" name="unit"/>
    <tableColumn id="18" name="observation"/>
    <tableColumn id="19" name="user_name"/>
    <tableColumn id="20" name="submitted_at"/>
    <tableColumn id="21" name="source_chann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envios" displayName="tbl_envios" ref="A4:K18" headerRowCount="1">
  <autoFilter ref="A4:K18"/>
  <tableColumns count="11">
    <tableColumn id="1" name="submission_id"/>
    <tableColumn id="2" name="period_key"/>
    <tableColumn id="3" name="area_code"/>
    <tableColumn id="4" name="status"/>
    <tableColumn id="5" name="responsible_user"/>
    <tableColumn id="6" name="opened_at"/>
    <tableColumn id="7" name="saved_at"/>
    <tableColumn id="8" name="submitted_at"/>
    <tableColumn id="9" name="completeness_pct"/>
    <tableColumn id="10" name="reminder_sent_at"/>
    <tableColumn id="11" name="comm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det_th_area" displayName="tbl_det_th_area" ref="A4:I102" headerRowCount="1">
  <autoFilter ref="A4:I102"/>
  <tableColumns count="9">
    <tableColumn id="1" name="period_key"/>
    <tableColumn id="2" name="area_name"/>
    <tableColumn id="3" name="persons_total"/>
    <tableColumn id="4" name="male_count"/>
    <tableColumn id="5" name="female_count"/>
    <tableColumn id="6" name="under30_count"/>
    <tableColumn id="7" name="age30_50_count"/>
    <tableColumn id="8" name="over50_count"/>
    <tableColumn id="9" name="observ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det_th_sexo" displayName="tbl_det_th_sexo" ref="A4:G21" headerRowCount="1">
  <autoFilter ref="A4:G21"/>
  <tableColumns count="7">
    <tableColumn id="1" name="period_key"/>
    <tableColumn id="2" name="business_unit"/>
    <tableColumn id="3" name="female_count"/>
    <tableColumn id="4" name="female_pct"/>
    <tableColumn id="5" name="male_count"/>
    <tableColumn id="6" name="male_pct"/>
    <tableColumn id="7" name="observ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det_th_departamento" displayName="tbl_det_th_departamento" ref="A4:G112" headerRowCount="1">
  <autoFilter ref="A4:G112"/>
  <tableColumns count="7">
    <tableColumn id="1" name="period_key"/>
    <tableColumn id="2" name="departamento"/>
    <tableColumn id="3" name="total_paracel"/>
    <tableColumn id="4" name="pct_paracel"/>
    <tableColumn id="5" name="total_forestal"/>
    <tableColumn id="6" name="pct_forestal"/>
    <tableColumn id="7" name="observ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det_ssl" displayName="tbl_det_ssl" ref="A4:K28" headerRowCount="1">
  <autoFilter ref="A4:K28"/>
  <tableColumns count="11">
    <tableColumn id="1" name="period_key"/>
    <tableColumn id="2" name="area_code"/>
    <tableColumn id="3" name="hours_month"/>
    <tableColumn id="4" name="hours_ytd"/>
    <tableColumn id="5" name="hours_total"/>
    <tableColumn id="6" name="safe_hours_from_date"/>
    <tableColumn id="7" name="safe_hours"/>
    <tableColumn id="8" name="accidents_lost_time"/>
    <tableColumn id="9" name="accidents_no_lost_time"/>
    <tableColumn id="10" name="accident_rate_per_million"/>
    <tableColumn id="11" name="observa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det_forestal_oper" displayName="tbl_det_forestal_oper" ref="A4:I24" headerRowCount="1">
  <autoFilter ref="A4:I24"/>
  <tableColumns count="9">
    <tableColumn id="1" name="period_key"/>
    <tableColumn id="2" name="metric_code"/>
    <tableColumn id="3" name="metric_label"/>
    <tableColumn id="4" name="unit"/>
    <tableColumn id="5" name="annual_plan"/>
    <tableColumn id="6" name="month_value"/>
    <tableColumn id="7" name="ytd_value"/>
    <tableColumn id="8" name="pct_plan"/>
    <tableColumn id="9" name="observ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det_finanzas_tierras" displayName="tbl_det_finanzas_tierras" ref="A4:F7" headerRowCount="1">
  <autoFilter ref="A4:F7"/>
  <tableColumns count="6">
    <tableColumn id="1" name="period_key"/>
    <tableColumn id="2" name="status_item"/>
    <tableColumn id="3" name="state"/>
    <tableColumn id="4" name="observation"/>
    <tableColumn id="5" name="area_ha"/>
    <tableColumn id="6" name="estimated_value_us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det_finanzas_presupu" displayName="tbl_det_finanzas_presupu" ref="A4:F8" headerRowCount="1">
  <autoFilter ref="A4:F8"/>
  <tableColumns count="6">
    <tableColumn id="1" name="period_key"/>
    <tableColumn id="2" name="metric_code"/>
    <tableColumn id="3" name="metric_label"/>
    <tableColumn id="4" name="value_num"/>
    <tableColumn id="5" name="unit"/>
    <tableColumn id="6" name="observa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det_compras" displayName="tbl_det_compras" ref="A4:G26" headerRowCount="1">
  <autoFilter ref="A4:G26"/>
  <tableColumns count="7">
    <tableColumn id="1" name="period_key"/>
    <tableColumn id="2" name="metric_group"/>
    <tableColumn id="3" name="metric_item"/>
    <tableColumn id="4" name="category"/>
    <tableColumn id="5" name="value_num"/>
    <tableColumn id="6" name="unit"/>
    <tableColumn id="7" name="observ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det_logistica" displayName="tbl_det_logistica" ref="A4:G5" headerRowCount="1">
  <autoFilter ref="A4:G5"/>
  <tableColumns count="7">
    <tableColumn id="1" name="period_key"/>
    <tableColumn id="2" name="metric_code"/>
    <tableColumn id="3" name="metric_label"/>
    <tableColumn id="4" name="value_num"/>
    <tableColumn id="5" name="value_text"/>
    <tableColumn id="6" name="unit"/>
    <tableColumn id="7" name="observa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det_ambiental" displayName="tbl_det_ambiental" ref="A4:G12" headerRowCount="1">
  <autoFilter ref="A4:G12"/>
  <tableColumns count="7">
    <tableColumn id="1" name="period_key"/>
    <tableColumn id="2" name="contractor_name"/>
    <tableColumn id="3" name="permits_obtained"/>
    <tableColumn id="4" name="permits_in_process"/>
    <tableColumn id="5" name="compliance_pct"/>
    <tableColumn id="6" name="inspections_n"/>
    <tableColumn id="7" name="observa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det_social_qcs" displayName="tbl_det_social_qcs" ref="A4:F40" headerRowCount="1">
  <autoFilter ref="A4:F40"/>
  <tableColumns count="6">
    <tableColumn id="1" name="period_key"/>
    <tableColumn id="2" name="quejas"/>
    <tableColumn id="3" name="consultas"/>
    <tableColumn id="4" name="sugerencias"/>
    <tableColumn id="5" name="contactos_total"/>
    <tableColumn id="6" name="observa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det_social_redes" displayName="tbl_det_social_redes" ref="A4:G40" headerRowCount="1">
  <autoFilter ref="A4:G40"/>
  <tableColumns count="7">
    <tableColumn id="1" name="period_key"/>
    <tableColumn id="2" name="instagram"/>
    <tableColumn id="3" name="facebook"/>
    <tableColumn id="4" name="linkedin"/>
    <tableColumn id="5" name="x_twitter"/>
    <tableColumn id="6" name="total_followers"/>
    <tableColumn id="7" name="observat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det_social_web" displayName="tbl_det_social_web" ref="A4:D40" headerRowCount="1">
  <autoFilter ref="A4:D40"/>
  <tableColumns count="4">
    <tableColumn id="1" name="period_key"/>
    <tableColumn id="2" name="visitas_totales"/>
    <tableColumn id="3" name="visitas_unicas"/>
    <tableColumn id="4" name="observati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det_social_programas" displayName="tbl_det_social_programas" ref="A4:E15" headerRowCount="1">
  <autoFilter ref="A4:E15"/>
  <tableColumns count="5">
    <tableColumn id="1" name="period_key"/>
    <tableColumn id="2" name="program_group"/>
    <tableColumn id="3" name="initiative"/>
    <tableColumn id="4" name="beneficiaries_n"/>
    <tableColumn id="5" name="observati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export" displayName="tbl_export" ref="A4:D10" headerRowCount="1">
  <autoFilter ref="A4:D10"/>
  <tableColumns count="4">
    <tableColumn id="1" name="entity"/>
    <tableColumn id="2" name="sheet_name"/>
    <tableColumn id="3" name="primary_key"/>
    <tableColumn id="4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 outlineLevelCol="0"/>
  <cols>
    <col width="90" customWidth="1" min="1" max="1"/>
    <col width="34" customWidth="1" min="2" max="2"/>
    <col width="20" customWidth="1" min="3" max="3"/>
  </cols>
  <sheetData>
    <row r="1" ht="26" customHeight="1">
      <c r="A1" s="39" t="inlineStr">
        <is>
          <t>PARACEL, Repositorio Mensual Integrado</t>
        </is>
      </c>
    </row>
    <row r="3">
      <c r="A3" s="2" t="inlineStr">
        <is>
          <t>Versión revisada con listas editables por usuario, adjuntos, texto libre y soporte de branding.</t>
        </is>
      </c>
    </row>
    <row r="4">
      <c r="A4" s="2" t="inlineStr">
        <is>
          <t>Administrador inicial: admin</t>
        </is>
      </c>
    </row>
    <row r="5">
      <c r="A5" s="40" t="inlineStr">
        <is>
          <t>Contraseña inicial del administrador: paracel2026</t>
        </is>
      </c>
    </row>
    <row r="6">
      <c r="A6" s="2" t="inlineStr">
        <is>
          <t>Fecha de preparación: 2026-03-26</t>
        </is>
      </c>
    </row>
    <row r="7">
      <c r="A7" t="inlineStr">
        <is>
          <t>2. Tablas normalizadas por tema para permitir captura desde app web o carga masiva.</t>
        </is>
      </c>
    </row>
    <row r="8">
      <c r="A8" t="inlineStr">
        <is>
          <t>3. Tabla central RESPUESTAS para auditoría y trazabilidad.</t>
        </is>
      </c>
    </row>
    <row r="9">
      <c r="A9" t="inlineStr">
        <is>
          <t>4. DASHBOARD con KPIs ejecutivos y gráficos base.</t>
        </is>
      </c>
    </row>
    <row r="10">
      <c r="A10" t="inlineStr">
        <is>
          <t>5. Hoja MAPEO_ORIGINAL para vincular la matriz actual con la nueva app.</t>
        </is>
      </c>
    </row>
    <row r="13">
      <c r="A13" s="3" t="inlineStr">
        <is>
          <t>Parámetros operativos sugeridos</t>
        </is>
      </c>
    </row>
    <row r="14">
      <c r="A14" s="4" t="inlineStr">
        <is>
          <t>Período activo</t>
        </is>
      </c>
      <c r="B14" s="5" t="inlineStr">
        <is>
          <t>2026-02</t>
        </is>
      </c>
    </row>
    <row r="15">
      <c r="A15" s="4" t="inlineStr">
        <is>
          <t>Día de recordatorio</t>
        </is>
      </c>
      <c r="B15" s="5" t="inlineStr">
        <is>
          <t>25</t>
        </is>
      </c>
    </row>
    <row r="16">
      <c r="A16" s="4" t="inlineStr">
        <is>
          <t>Canal de captura</t>
        </is>
      </c>
      <c r="B16" s="5" t="inlineStr">
        <is>
          <t>App web autenticada</t>
        </is>
      </c>
    </row>
    <row r="17">
      <c r="A17" s="4" t="inlineStr">
        <is>
          <t>Exportación de respaldo</t>
        </is>
      </c>
      <c r="B17" s="5" t="inlineStr">
        <is>
          <t>Libro en línea en OneDrive/SharePoint o equivalente</t>
        </is>
      </c>
    </row>
    <row r="18">
      <c r="A18" s="4" t="inlineStr">
        <is>
          <t>Administrador inicial</t>
        </is>
      </c>
      <c r="B18" s="5" t="inlineStr">
        <is>
          <t>admin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2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6" customHeight="1">
      <c r="A1" s="41" t="inlineStr">
        <is>
          <t>PARAMETROS DE LA APP</t>
        </is>
      </c>
    </row>
    <row r="2"/>
    <row r="3" ht="24" customHeight="1">
      <c r="A3" s="42" t="inlineStr">
        <is>
          <t>Control</t>
        </is>
      </c>
      <c r="B3" s="42" t="inlineStr">
        <is>
          <t>Valor</t>
        </is>
      </c>
      <c r="C3" s="42" t="inlineStr">
        <is>
          <t>Descripción</t>
        </is>
      </c>
    </row>
    <row r="4">
      <c r="A4" s="4" t="inlineStr">
        <is>
          <t>admin_user</t>
        </is>
      </c>
      <c r="B4" s="5" t="inlineStr">
        <is>
          <t>admin</t>
        </is>
      </c>
      <c r="C4" s="5" t="inlineStr">
        <is>
          <t>Usuario administrador único</t>
        </is>
      </c>
    </row>
    <row r="5">
      <c r="A5" s="4" t="inlineStr">
        <is>
          <t>admin_password</t>
        </is>
      </c>
      <c r="B5" s="27" t="inlineStr">
        <is>
          <t>paracel2026</t>
        </is>
      </c>
      <c r="C5" s="5" t="inlineStr">
        <is>
          <t>Contraseña inicial del administrador</t>
        </is>
      </c>
    </row>
    <row r="6">
      <c r="A6" s="4" t="inlineStr">
        <is>
          <t>reminder_day</t>
        </is>
      </c>
      <c r="B6" s="5" t="n">
        <v>25</v>
      </c>
      <c r="C6" s="5" t="inlineStr">
        <is>
          <t>Día mensual de recordatorio por correo</t>
        </is>
      </c>
    </row>
    <row r="7">
      <c r="A7" s="4" t="inlineStr">
        <is>
          <t>logo_default</t>
        </is>
      </c>
      <c r="B7" s="5" t="inlineStr">
        <is>
          <t>img/logo_paracel.png</t>
        </is>
      </c>
      <c r="C7" s="5" t="inlineStr">
        <is>
          <t>Ruta del logo por defecto</t>
        </is>
      </c>
    </row>
    <row r="8">
      <c r="A8" s="4" t="inlineStr">
        <is>
          <t>narrative_enabled</t>
        </is>
      </c>
      <c r="B8" s="5" t="inlineStr">
        <is>
          <t>Sí</t>
        </is>
      </c>
      <c r="C8" s="5" t="inlineStr">
        <is>
          <t>Texto libre para el reporte imprimible</t>
        </is>
      </c>
    </row>
    <row r="9">
      <c r="A9" s="4" t="inlineStr">
        <is>
          <t>attachments_enabled</t>
        </is>
      </c>
      <c r="B9" s="5" t="inlineStr">
        <is>
          <t>Sí</t>
        </is>
      </c>
      <c r="C9" s="5" t="inlineStr">
        <is>
          <t>Permite adjuntar documentos de respaldo</t>
        </is>
      </c>
    </row>
    <row r="10">
      <c r="A10" s="4" t="inlineStr">
        <is>
          <t>period_compare</t>
        </is>
      </c>
      <c r="B10" s="5" t="inlineStr">
        <is>
          <t>Sí</t>
        </is>
      </c>
      <c r="C10" s="5" t="inlineStr">
        <is>
          <t>Habilita referencia del mismo período del año anterior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39" customWidth="1" min="2" max="2"/>
    <col width="19" customWidth="1" min="3" max="3"/>
    <col width="18" customWidth="1" min="4" max="4"/>
    <col width="34" customWidth="1" min="5" max="5"/>
    <col width="40" customWidth="1" min="6" max="6"/>
    <col width="40" customWidth="1" min="7" max="7"/>
    <col width="10" customWidth="1" min="8" max="8"/>
  </cols>
  <sheetData>
    <row r="1" ht="26" customHeight="1">
      <c r="A1" s="1" t="inlineStr">
        <is>
          <t>CAT_AREAS</t>
        </is>
      </c>
    </row>
    <row r="2"/>
    <row r="3"/>
    <row r="4" ht="24" customHeight="1">
      <c r="A4" s="42" t="inlineStr">
        <is>
          <t>area_code</t>
        </is>
      </c>
      <c r="B4" s="42" t="inlineStr">
        <is>
          <t>area_name</t>
        </is>
      </c>
      <c r="C4" s="42" t="inlineStr">
        <is>
          <t>group</t>
        </is>
      </c>
      <c r="D4" s="42" t="inlineStr">
        <is>
          <t>responsible</t>
        </is>
      </c>
      <c r="E4" s="42" t="inlineStr">
        <is>
          <t>email</t>
        </is>
      </c>
      <c r="F4" s="42" t="inlineStr">
        <is>
          <t>source_sheet</t>
        </is>
      </c>
      <c r="G4" s="42" t="inlineStr">
        <is>
          <t>description</t>
        </is>
      </c>
      <c r="H4" s="42" t="inlineStr">
        <is>
          <t>active</t>
        </is>
      </c>
    </row>
    <row r="5">
      <c r="A5" t="inlineStr">
        <is>
          <t>ssl_industrial</t>
        </is>
      </c>
      <c r="B5" t="inlineStr">
        <is>
          <t>SSL Industrial</t>
        </is>
      </c>
      <c r="C5" t="inlineStr">
        <is>
          <t>Salud y Seguridad</t>
        </is>
      </c>
      <c r="D5" t="inlineStr">
        <is>
          <t>HSE Industrial</t>
        </is>
      </c>
      <c r="E5" t="inlineStr">
        <is>
          <t>edilson.souza.ext@paracel.com.py</t>
        </is>
      </c>
      <c r="F5" t="inlineStr">
        <is>
          <t>Industrial_SSL</t>
        </is>
      </c>
      <c r="G5" t="inlineStr">
        <is>
          <t>Horas trabajadas y accidentabilidad industrial</t>
        </is>
      </c>
      <c r="H5" t="inlineStr">
        <is>
          <t>Sí</t>
        </is>
      </c>
    </row>
    <row r="6">
      <c r="A6" t="inlineStr">
        <is>
          <t>ssl_forestal</t>
        </is>
      </c>
      <c r="B6" t="inlineStr">
        <is>
          <t>SSL Forestal</t>
        </is>
      </c>
      <c r="C6" t="inlineStr">
        <is>
          <t>Salud y Seguridad</t>
        </is>
      </c>
      <c r="D6" t="inlineStr">
        <is>
          <t>HSE Forestal</t>
        </is>
      </c>
      <c r="E6" t="inlineStr">
        <is>
          <t>edilson.souza.ext@paracel.com.py</t>
        </is>
      </c>
      <c r="F6" t="inlineStr">
        <is>
          <t>Forestal_SSL</t>
        </is>
      </c>
      <c r="G6" t="inlineStr">
        <is>
          <t>Horas trabajadas y accidentabilidad forestal</t>
        </is>
      </c>
      <c r="H6" t="inlineStr">
        <is>
          <t>Sí</t>
        </is>
      </c>
    </row>
    <row r="7">
      <c r="A7" t="inlineStr">
        <is>
          <t>operaciones_forestales</t>
        </is>
      </c>
      <c r="B7" t="inlineStr">
        <is>
          <t>Operaciones Forestales</t>
        </is>
      </c>
      <c r="C7" t="inlineStr">
        <is>
          <t>Operaciones</t>
        </is>
      </c>
      <c r="D7" t="inlineStr">
        <is>
          <t>Forestal Ops</t>
        </is>
      </c>
      <c r="E7" t="inlineStr">
        <is>
          <t>sara.santos@paracel.com.py</t>
        </is>
      </c>
      <c r="F7" t="inlineStr">
        <is>
          <t>Forestal_Oper;Forestal_Oper_Resum</t>
        </is>
      </c>
      <c r="G7" t="inlineStr">
        <is>
          <t>Plantaciones, habilitación, área preparada, reforma y fertilización</t>
        </is>
      </c>
      <c r="H7" t="inlineStr">
        <is>
          <t>Sí</t>
        </is>
      </c>
    </row>
    <row r="8">
      <c r="A8" t="inlineStr">
        <is>
          <t>operaciones_industriales</t>
        </is>
      </c>
      <c r="B8" t="inlineStr">
        <is>
          <t>Operaciones Industriales</t>
        </is>
      </c>
      <c r="C8" t="inlineStr">
        <is>
          <t>Operaciones</t>
        </is>
      </c>
      <c r="D8" t="inlineStr">
        <is>
          <t>Industrial</t>
        </is>
      </c>
      <c r="E8" t="inlineStr">
        <is>
          <t>keyloir.hermes@paracel.com.py</t>
        </is>
      </c>
      <c r="F8" t="inlineStr">
        <is>
          <t>Industrial_Oper</t>
        </is>
      </c>
      <c r="G8" t="inlineStr">
        <is>
          <t>Avances operativos industriales</t>
        </is>
      </c>
      <c r="H8" t="inlineStr">
        <is>
          <t>Sí</t>
        </is>
      </c>
    </row>
    <row r="9">
      <c r="A9" t="inlineStr">
        <is>
          <t>talento_humano</t>
        </is>
      </c>
      <c r="B9" t="inlineStr">
        <is>
          <t>Talento Humano</t>
        </is>
      </c>
      <c r="C9" t="inlineStr">
        <is>
          <t>Personas</t>
        </is>
      </c>
      <c r="D9" t="inlineStr">
        <is>
          <t>RRHH</t>
        </is>
      </c>
      <c r="E9" t="inlineStr">
        <is>
          <t>lucia.pereira@paracel.com.py</t>
        </is>
      </c>
      <c r="F9" t="inlineStr">
        <is>
          <t>TalentoHumano_A;TalentoHumano_B;Industrial_Personas;Forestal_Personas</t>
        </is>
      </c>
      <c r="G9" t="inlineStr">
        <is>
          <t>Dotación por sexo, edad, área y departamento</t>
        </is>
      </c>
      <c r="H9" t="inlineStr">
        <is>
          <t>Sí</t>
        </is>
      </c>
    </row>
    <row r="10">
      <c r="A10" t="inlineStr">
        <is>
          <t>finanzas</t>
        </is>
      </c>
      <c r="B10" t="inlineStr">
        <is>
          <t>Finanzas</t>
        </is>
      </c>
      <c r="C10" t="inlineStr">
        <is>
          <t>Finanzas</t>
        </is>
      </c>
      <c r="D10" t="inlineStr">
        <is>
          <t>Finanzas</t>
        </is>
      </c>
      <c r="E10" t="inlineStr"/>
      <c r="F10" t="inlineStr">
        <is>
          <t>Finanzas</t>
        </is>
      </c>
      <c r="G10" t="inlineStr">
        <is>
          <t>Tierras y ejecución presupuestaria</t>
        </is>
      </c>
      <c r="H10" t="inlineStr">
        <is>
          <t>Sí</t>
        </is>
      </c>
    </row>
    <row r="11">
      <c r="A11" t="inlineStr">
        <is>
          <t>comunicacion_social</t>
        </is>
      </c>
      <c r="B11" t="inlineStr">
        <is>
          <t>Comunicación y Sustentabilidad Social</t>
        </is>
      </c>
      <c r="C11" t="inlineStr">
        <is>
          <t>Sustentabilidad</t>
        </is>
      </c>
      <c r="D11" t="inlineStr">
        <is>
          <t>Comunicaciones</t>
        </is>
      </c>
      <c r="E11" t="inlineStr"/>
      <c r="F11" t="inlineStr">
        <is>
          <t>Comunicacion_y_Sust_Social</t>
        </is>
      </c>
      <c r="G11" t="inlineStr">
        <is>
          <t>QCS, redes sociales, web y programas sociales</t>
        </is>
      </c>
      <c r="H11" t="inlineStr">
        <is>
          <t>Sí</t>
        </is>
      </c>
    </row>
    <row r="12">
      <c r="A12" t="inlineStr">
        <is>
          <t>compras</t>
        </is>
      </c>
      <c r="B12" t="inlineStr">
        <is>
          <t>Compras</t>
        </is>
      </c>
      <c r="C12" t="inlineStr">
        <is>
          <t>Abastecimiento</t>
        </is>
      </c>
      <c r="D12" t="inlineStr">
        <is>
          <t>Compras</t>
        </is>
      </c>
      <c r="E12" t="inlineStr"/>
      <c r="F12" t="inlineStr">
        <is>
          <t>Compras</t>
        </is>
      </c>
      <c r="G12" t="inlineStr">
        <is>
          <t>Descuentos, SLA y compras exceptuadas</t>
        </is>
      </c>
      <c r="H12" t="inlineStr">
        <is>
          <t>Sí</t>
        </is>
      </c>
    </row>
    <row r="13">
      <c r="A13" t="inlineStr">
        <is>
          <t>logistica</t>
        </is>
      </c>
      <c r="B13" t="inlineStr">
        <is>
          <t>Logística</t>
        </is>
      </c>
      <c r="C13" t="inlineStr">
        <is>
          <t>Operaciones</t>
        </is>
      </c>
      <c r="D13" t="inlineStr">
        <is>
          <t>Logística</t>
        </is>
      </c>
      <c r="E13" t="inlineStr"/>
      <c r="F13" t="inlineStr">
        <is>
          <t>Logística</t>
        </is>
      </c>
      <c r="G13" t="inlineStr">
        <is>
          <t>Permisos, servidumbres y consumo de flota</t>
        </is>
      </c>
      <c r="H13" t="inlineStr">
        <is>
          <t>Sí</t>
        </is>
      </c>
    </row>
    <row r="14">
      <c r="A14" t="inlineStr">
        <is>
          <t>ambiental</t>
        </is>
      </c>
      <c r="B14" t="inlineStr">
        <is>
          <t>Ambiental</t>
        </is>
      </c>
      <c r="C14" t="inlineStr">
        <is>
          <t>Sustentabilidad</t>
        </is>
      </c>
      <c r="D14" t="inlineStr">
        <is>
          <t>Sustentabilidad</t>
        </is>
      </c>
      <c r="E14" t="inlineStr"/>
      <c r="F14" t="inlineStr">
        <is>
          <t>Ambiental</t>
        </is>
      </c>
      <c r="G14" t="inlineStr">
        <is>
          <t>Permisos e inspecciones por contratista</t>
        </is>
      </c>
      <c r="H14" t="inlineStr">
        <is>
          <t>Sí</t>
        </is>
      </c>
    </row>
    <row r="15">
      <c r="A15" t="inlineStr">
        <is>
          <t>forestal_fomento</t>
        </is>
      </c>
      <c r="B15" t="inlineStr">
        <is>
          <t>Forestal Fomento</t>
        </is>
      </c>
      <c r="C15" t="inlineStr">
        <is>
          <t>Operaciones</t>
        </is>
      </c>
      <c r="D15" t="inlineStr">
        <is>
          <t>Fomento Forestal</t>
        </is>
      </c>
      <c r="E15" t="inlineStr">
        <is>
          <t>fomento@paracel.com.py</t>
        </is>
      </c>
      <c r="F15" t="inlineStr">
        <is>
          <t>Forestal_Propias&amp;Fomento</t>
        </is>
      </c>
      <c r="G15" t="inlineStr">
        <is>
          <t>Contratos y ejecución por proveedor en fomento forestal</t>
        </is>
      </c>
      <c r="H15" t="inlineStr">
        <is>
          <t>Sí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30" customWidth="1" min="2" max="2"/>
    <col width="34" customWidth="1" min="3" max="3"/>
    <col width="13" customWidth="1" min="4" max="4"/>
    <col width="26" customWidth="1" min="5" max="5"/>
    <col width="10" customWidth="1" min="6" max="6"/>
    <col width="40" customWidth="1" min="7" max="7"/>
  </cols>
  <sheetData>
    <row r="1" ht="26" customHeight="1">
      <c r="A1" s="1" t="inlineStr">
        <is>
          <t>CAT_USUARIOS</t>
        </is>
      </c>
    </row>
    <row r="2"/>
    <row r="3"/>
    <row r="4" ht="24" customHeight="1">
      <c r="A4" s="42" t="inlineStr">
        <is>
          <t>username</t>
        </is>
      </c>
      <c r="B4" s="42" t="inlineStr">
        <is>
          <t>full_name</t>
        </is>
      </c>
      <c r="C4" s="42" t="inlineStr">
        <is>
          <t>email</t>
        </is>
      </c>
      <c r="D4" s="42" t="inlineStr">
        <is>
          <t>role</t>
        </is>
      </c>
      <c r="E4" s="42" t="inlineStr">
        <is>
          <t>area_code</t>
        </is>
      </c>
      <c r="F4" s="42" t="inlineStr">
        <is>
          <t>active</t>
        </is>
      </c>
      <c r="G4" s="42" t="inlineStr">
        <is>
          <t>notes</t>
        </is>
      </c>
    </row>
    <row r="5">
      <c r="A5" t="inlineStr">
        <is>
          <t>admin</t>
        </is>
      </c>
      <c r="B5" t="inlineStr">
        <is>
          <t>Administrador Paracel</t>
        </is>
      </c>
      <c r="C5" t="inlineStr">
        <is>
          <t>admin@paracel.local</t>
        </is>
      </c>
      <c r="D5" t="inlineStr">
        <is>
          <t>admin</t>
        </is>
      </c>
      <c r="E5" t="inlineStr">
        <is>
          <t>admin</t>
        </is>
      </c>
      <c r="F5" t="inlineStr">
        <is>
          <t>Sí</t>
        </is>
      </c>
      <c r="G5" t="inlineStr">
        <is>
          <t>Usuario único con acceso a configuración. Contraseña inicial en la app: paracel2026</t>
        </is>
      </c>
    </row>
    <row r="6">
      <c r="A6" t="inlineStr">
        <is>
          <t>ssl_industrial</t>
        </is>
      </c>
      <c r="B6" t="inlineStr">
        <is>
          <t>HSE Industrial</t>
        </is>
      </c>
      <c r="C6" t="inlineStr">
        <is>
          <t>edilson.souza.ext@paracel.com.py</t>
        </is>
      </c>
      <c r="D6" t="inlineStr">
        <is>
          <t>responsable</t>
        </is>
      </c>
      <c r="E6" t="inlineStr">
        <is>
          <t>ssl_industrial</t>
        </is>
      </c>
      <c r="F6" t="inlineStr">
        <is>
          <t>Sí</t>
        </is>
      </c>
      <c r="G6" t="inlineStr">
        <is>
          <t>Contraseña temporal a definir por TI en la puesta en producción</t>
        </is>
      </c>
    </row>
    <row r="7">
      <c r="A7" t="inlineStr">
        <is>
          <t>ssl_forestal</t>
        </is>
      </c>
      <c r="B7" t="inlineStr">
        <is>
          <t>HSE Forestal</t>
        </is>
      </c>
      <c r="C7" t="inlineStr">
        <is>
          <t>edilson.souza.ext@paracel.com.py</t>
        </is>
      </c>
      <c r="D7" t="inlineStr">
        <is>
          <t>responsable</t>
        </is>
      </c>
      <c r="E7" t="inlineStr">
        <is>
          <t>ssl_forestal</t>
        </is>
      </c>
      <c r="F7" t="inlineStr">
        <is>
          <t>Sí</t>
        </is>
      </c>
      <c r="G7" t="inlineStr">
        <is>
          <t>Contraseña temporal a definir por TI en la puesta en producción</t>
        </is>
      </c>
    </row>
    <row r="8">
      <c r="A8" t="inlineStr">
        <is>
          <t>operaciones_forestales</t>
        </is>
      </c>
      <c r="B8" t="inlineStr">
        <is>
          <t>Forestal Ops</t>
        </is>
      </c>
      <c r="C8" t="inlineStr">
        <is>
          <t>sara.santos@paracel.com.py</t>
        </is>
      </c>
      <c r="D8" t="inlineStr">
        <is>
          <t>responsable</t>
        </is>
      </c>
      <c r="E8" t="inlineStr">
        <is>
          <t>operaciones_forestales</t>
        </is>
      </c>
      <c r="F8" t="inlineStr">
        <is>
          <t>Sí</t>
        </is>
      </c>
      <c r="G8" t="inlineStr">
        <is>
          <t>Contraseña temporal a definir por TI en la puesta en producción</t>
        </is>
      </c>
    </row>
    <row r="9">
      <c r="A9" t="inlineStr">
        <is>
          <t>operaciones_industriales</t>
        </is>
      </c>
      <c r="B9" t="inlineStr">
        <is>
          <t>Industrial</t>
        </is>
      </c>
      <c r="C9" t="inlineStr">
        <is>
          <t>keyloir.hermes@paracel.com.py</t>
        </is>
      </c>
      <c r="D9" t="inlineStr">
        <is>
          <t>responsable</t>
        </is>
      </c>
      <c r="E9" t="inlineStr">
        <is>
          <t>operaciones_industriales</t>
        </is>
      </c>
      <c r="F9" t="inlineStr">
        <is>
          <t>Sí</t>
        </is>
      </c>
      <c r="G9" t="inlineStr">
        <is>
          <t>Contraseña temporal a definir por TI en la puesta en producción</t>
        </is>
      </c>
    </row>
    <row r="10">
      <c r="A10" t="inlineStr">
        <is>
          <t>talento_humano</t>
        </is>
      </c>
      <c r="B10" t="inlineStr">
        <is>
          <t>RRHH</t>
        </is>
      </c>
      <c r="C10" t="inlineStr">
        <is>
          <t>lucia.pereira@paracel.com.py</t>
        </is>
      </c>
      <c r="D10" t="inlineStr">
        <is>
          <t>responsable</t>
        </is>
      </c>
      <c r="E10" t="inlineStr">
        <is>
          <t>talento_humano</t>
        </is>
      </c>
      <c r="F10" t="inlineStr">
        <is>
          <t>Sí</t>
        </is>
      </c>
      <c r="G10" t="inlineStr">
        <is>
          <t>Contraseña temporal a definir por TI en la puesta en producción</t>
        </is>
      </c>
    </row>
    <row r="11">
      <c r="A11" t="inlineStr">
        <is>
          <t>finanzas</t>
        </is>
      </c>
      <c r="B11" t="inlineStr">
        <is>
          <t>Finanzas</t>
        </is>
      </c>
      <c r="C11" t="inlineStr"/>
      <c r="D11" t="inlineStr">
        <is>
          <t>responsable</t>
        </is>
      </c>
      <c r="E11" t="inlineStr">
        <is>
          <t>finanzas</t>
        </is>
      </c>
      <c r="F11" t="inlineStr">
        <is>
          <t>Sí</t>
        </is>
      </c>
      <c r="G11" t="inlineStr">
        <is>
          <t>Contraseña temporal a definir por TI en la puesta en producción</t>
        </is>
      </c>
    </row>
    <row r="12">
      <c r="A12" t="inlineStr">
        <is>
          <t>comunicacion_social</t>
        </is>
      </c>
      <c r="B12" t="inlineStr">
        <is>
          <t>Comunicaciones</t>
        </is>
      </c>
      <c r="C12" t="inlineStr"/>
      <c r="D12" t="inlineStr">
        <is>
          <t>responsable</t>
        </is>
      </c>
      <c r="E12" t="inlineStr">
        <is>
          <t>comunicacion_social</t>
        </is>
      </c>
      <c r="F12" t="inlineStr">
        <is>
          <t>Sí</t>
        </is>
      </c>
      <c r="G12" t="inlineStr">
        <is>
          <t>Contraseña temporal a definir por TI en la puesta en producción</t>
        </is>
      </c>
    </row>
    <row r="13">
      <c r="A13" t="inlineStr">
        <is>
          <t>compras</t>
        </is>
      </c>
      <c r="B13" t="inlineStr">
        <is>
          <t>Compras</t>
        </is>
      </c>
      <c r="C13" t="inlineStr"/>
      <c r="D13" t="inlineStr">
        <is>
          <t>responsable</t>
        </is>
      </c>
      <c r="E13" t="inlineStr">
        <is>
          <t>compras</t>
        </is>
      </c>
      <c r="F13" t="inlineStr">
        <is>
          <t>Sí</t>
        </is>
      </c>
      <c r="G13" t="inlineStr">
        <is>
          <t>Contraseña temporal a definir por TI en la puesta en producción</t>
        </is>
      </c>
    </row>
    <row r="14">
      <c r="A14" t="inlineStr">
        <is>
          <t>logistica</t>
        </is>
      </c>
      <c r="B14" t="inlineStr">
        <is>
          <t>Logística</t>
        </is>
      </c>
      <c r="C14" t="inlineStr"/>
      <c r="D14" t="inlineStr">
        <is>
          <t>responsable</t>
        </is>
      </c>
      <c r="E14" t="inlineStr">
        <is>
          <t>logistica</t>
        </is>
      </c>
      <c r="F14" t="inlineStr">
        <is>
          <t>Sí</t>
        </is>
      </c>
      <c r="G14" t="inlineStr">
        <is>
          <t>Contraseña temporal a definir por TI en la puesta en producción</t>
        </is>
      </c>
    </row>
    <row r="15">
      <c r="A15" t="inlineStr">
        <is>
          <t>ambiental</t>
        </is>
      </c>
      <c r="B15" t="inlineStr">
        <is>
          <t>Sustentabilidad</t>
        </is>
      </c>
      <c r="C15" t="inlineStr"/>
      <c r="D15" t="inlineStr">
        <is>
          <t>responsable</t>
        </is>
      </c>
      <c r="E15" t="inlineStr">
        <is>
          <t>ambiental</t>
        </is>
      </c>
      <c r="F15" t="inlineStr">
        <is>
          <t>Sí</t>
        </is>
      </c>
      <c r="G15" t="inlineStr">
        <is>
          <t>Contraseña temporal a definir por TI en la puesta en producción</t>
        </is>
      </c>
    </row>
    <row r="16">
      <c r="A16" t="inlineStr">
        <is>
          <t>forestal_fomento</t>
        </is>
      </c>
      <c r="B16" t="inlineStr">
        <is>
          <t>Responsable Fomento Forestal</t>
        </is>
      </c>
      <c r="C16" t="inlineStr">
        <is>
          <t>fomento@paracel.com.py</t>
        </is>
      </c>
      <c r="D16" t="inlineStr">
        <is>
          <t>responsable</t>
        </is>
      </c>
      <c r="E16" t="inlineStr">
        <is>
          <t>forestal_fomento</t>
        </is>
      </c>
      <c r="F16" t="inlineStr">
        <is>
          <t>Sí</t>
        </is>
      </c>
      <c r="G16" t="inlineStr">
        <is>
          <t>Contraseña temporal a definir por TI en la puesta en producción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8" customWidth="1" min="6" max="6"/>
    <col width="48" customWidth="1" min="7" max="7"/>
    <col width="14" customWidth="1" min="8" max="8"/>
  </cols>
  <sheetData>
    <row r="1" ht="26" customHeight="1">
      <c r="A1" s="1" t="inlineStr">
        <is>
          <t>CAT_PERIODOS</t>
        </is>
      </c>
    </row>
    <row r="4">
      <c r="A4" s="8" t="inlineStr">
        <is>
          <t>period_date</t>
        </is>
      </c>
      <c r="B4" s="8" t="inlineStr">
        <is>
          <t>period_key</t>
        </is>
      </c>
      <c r="C4" s="8" t="inlineStr">
        <is>
          <t>year</t>
        </is>
      </c>
      <c r="D4" s="8" t="inlineStr">
        <is>
          <t>month_no</t>
        </is>
      </c>
      <c r="E4" s="8" t="inlineStr">
        <is>
          <t>month_name_es</t>
        </is>
      </c>
      <c r="F4" s="8" t="inlineStr">
        <is>
          <t>month_title_es</t>
        </is>
      </c>
      <c r="G4" s="8" t="inlineStr">
        <is>
          <t>reminder_date</t>
        </is>
      </c>
      <c r="H4" s="8" t="inlineStr">
        <is>
          <t>status</t>
        </is>
      </c>
    </row>
    <row r="5">
      <c r="A5" s="28" t="n">
        <v>45292</v>
      </c>
      <c r="B5" s="5" t="inlineStr">
        <is>
          <t>2024-01</t>
        </is>
      </c>
      <c r="C5" s="11" t="n">
        <v>2024</v>
      </c>
      <c r="D5" s="11" t="n">
        <v>1</v>
      </c>
      <c r="E5" s="5" t="inlineStr">
        <is>
          <t>enero</t>
        </is>
      </c>
      <c r="F5" s="5" t="inlineStr">
        <is>
          <t>Enero</t>
        </is>
      </c>
      <c r="G5" s="27" t="n">
        <v>45316</v>
      </c>
      <c r="H5" s="5" t="inlineStr">
        <is>
          <t>Histórico</t>
        </is>
      </c>
    </row>
    <row r="6">
      <c r="A6" s="28" t="n">
        <v>45323</v>
      </c>
      <c r="B6" s="5" t="inlineStr">
        <is>
          <t>2024-02</t>
        </is>
      </c>
      <c r="C6" s="11" t="n">
        <v>2024</v>
      </c>
      <c r="D6" s="11" t="n">
        <v>2</v>
      </c>
      <c r="E6" s="5" t="inlineStr">
        <is>
          <t>febrero</t>
        </is>
      </c>
      <c r="F6" s="5" t="inlineStr">
        <is>
          <t>Febrero</t>
        </is>
      </c>
      <c r="G6" s="27" t="n">
        <v>45347</v>
      </c>
      <c r="H6" s="5" t="inlineStr">
        <is>
          <t>Histórico</t>
        </is>
      </c>
    </row>
    <row r="7">
      <c r="A7" s="28" t="n">
        <v>45352</v>
      </c>
      <c r="B7" s="5" t="inlineStr">
        <is>
          <t>2024-03</t>
        </is>
      </c>
      <c r="C7" s="11" t="n">
        <v>2024</v>
      </c>
      <c r="D7" s="11" t="n">
        <v>3</v>
      </c>
      <c r="E7" s="5" t="inlineStr">
        <is>
          <t>marzo</t>
        </is>
      </c>
      <c r="F7" s="5" t="inlineStr">
        <is>
          <t>Marzo</t>
        </is>
      </c>
      <c r="G7" s="27" t="n">
        <v>45376</v>
      </c>
      <c r="H7" s="5" t="inlineStr">
        <is>
          <t>Histórico</t>
        </is>
      </c>
    </row>
    <row r="8">
      <c r="A8" s="28" t="n">
        <v>45383</v>
      </c>
      <c r="B8" s="5" t="inlineStr">
        <is>
          <t>2024-04</t>
        </is>
      </c>
      <c r="C8" s="11" t="n">
        <v>2024</v>
      </c>
      <c r="D8" s="11" t="n">
        <v>4</v>
      </c>
      <c r="E8" s="5" t="inlineStr">
        <is>
          <t>abril</t>
        </is>
      </c>
      <c r="F8" s="5" t="inlineStr">
        <is>
          <t>Abril</t>
        </is>
      </c>
      <c r="G8" s="27" t="n">
        <v>45407</v>
      </c>
      <c r="H8" s="5" t="inlineStr">
        <is>
          <t>Histórico</t>
        </is>
      </c>
    </row>
    <row r="9">
      <c r="A9" s="28" t="n">
        <v>45413</v>
      </c>
      <c r="B9" s="5" t="inlineStr">
        <is>
          <t>2024-05</t>
        </is>
      </c>
      <c r="C9" s="11" t="n">
        <v>2024</v>
      </c>
      <c r="D9" s="11" t="n">
        <v>5</v>
      </c>
      <c r="E9" s="5" t="inlineStr">
        <is>
          <t>mayo</t>
        </is>
      </c>
      <c r="F9" s="5" t="inlineStr">
        <is>
          <t>Mayo</t>
        </is>
      </c>
      <c r="G9" s="27" t="n">
        <v>45437</v>
      </c>
      <c r="H9" s="5" t="inlineStr">
        <is>
          <t>Histórico</t>
        </is>
      </c>
    </row>
    <row r="10">
      <c r="A10" s="28" t="n">
        <v>45444</v>
      </c>
      <c r="B10" s="5" t="inlineStr">
        <is>
          <t>2024-06</t>
        </is>
      </c>
      <c r="C10" s="11" t="n">
        <v>2024</v>
      </c>
      <c r="D10" s="11" t="n">
        <v>6</v>
      </c>
      <c r="E10" s="5" t="inlineStr">
        <is>
          <t>junio</t>
        </is>
      </c>
      <c r="F10" s="5" t="inlineStr">
        <is>
          <t>Junio</t>
        </is>
      </c>
      <c r="G10" s="27" t="n">
        <v>45468</v>
      </c>
      <c r="H10" s="5" t="inlineStr">
        <is>
          <t>Histórico</t>
        </is>
      </c>
    </row>
    <row r="11">
      <c r="A11" s="28" t="n">
        <v>45474</v>
      </c>
      <c r="B11" s="5" t="inlineStr">
        <is>
          <t>2024-07</t>
        </is>
      </c>
      <c r="C11" s="11" t="n">
        <v>2024</v>
      </c>
      <c r="D11" s="11" t="n">
        <v>7</v>
      </c>
      <c r="E11" s="5" t="inlineStr">
        <is>
          <t>julio</t>
        </is>
      </c>
      <c r="F11" s="5" t="inlineStr">
        <is>
          <t>Julio</t>
        </is>
      </c>
      <c r="G11" s="27" t="n">
        <v>45498</v>
      </c>
      <c r="H11" s="5" t="inlineStr">
        <is>
          <t>Histórico</t>
        </is>
      </c>
    </row>
    <row r="12">
      <c r="A12" s="28" t="n">
        <v>45505</v>
      </c>
      <c r="B12" s="5" t="inlineStr">
        <is>
          <t>2024-08</t>
        </is>
      </c>
      <c r="C12" s="11" t="n">
        <v>2024</v>
      </c>
      <c r="D12" s="11" t="n">
        <v>8</v>
      </c>
      <c r="E12" s="5" t="inlineStr">
        <is>
          <t>agosto</t>
        </is>
      </c>
      <c r="F12" s="5" t="inlineStr">
        <is>
          <t>Agosto</t>
        </is>
      </c>
      <c r="G12" s="27" t="n">
        <v>45529</v>
      </c>
      <c r="H12" s="5" t="inlineStr">
        <is>
          <t>Histórico</t>
        </is>
      </c>
    </row>
    <row r="13">
      <c r="A13" s="28" t="n">
        <v>45536</v>
      </c>
      <c r="B13" s="5" t="inlineStr">
        <is>
          <t>2024-09</t>
        </is>
      </c>
      <c r="C13" s="11" t="n">
        <v>2024</v>
      </c>
      <c r="D13" s="11" t="n">
        <v>9</v>
      </c>
      <c r="E13" s="5" t="inlineStr">
        <is>
          <t>septiembre</t>
        </is>
      </c>
      <c r="F13" s="5" t="inlineStr">
        <is>
          <t>Septiembre</t>
        </is>
      </c>
      <c r="G13" s="27" t="n">
        <v>45560</v>
      </c>
      <c r="H13" s="5" t="inlineStr">
        <is>
          <t>Histórico</t>
        </is>
      </c>
    </row>
    <row r="14">
      <c r="A14" s="28" t="n">
        <v>45566</v>
      </c>
      <c r="B14" s="5" t="inlineStr">
        <is>
          <t>2024-10</t>
        </is>
      </c>
      <c r="C14" s="11" t="n">
        <v>2024</v>
      </c>
      <c r="D14" s="11" t="n">
        <v>10</v>
      </c>
      <c r="E14" s="5" t="inlineStr">
        <is>
          <t>octubre</t>
        </is>
      </c>
      <c r="F14" s="5" t="inlineStr">
        <is>
          <t>Octubre</t>
        </is>
      </c>
      <c r="G14" s="27" t="n">
        <v>45590</v>
      </c>
      <c r="H14" s="5" t="inlineStr">
        <is>
          <t>Histórico</t>
        </is>
      </c>
    </row>
    <row r="15">
      <c r="A15" s="28" t="n">
        <v>45597</v>
      </c>
      <c r="B15" s="5" t="inlineStr">
        <is>
          <t>2024-11</t>
        </is>
      </c>
      <c r="C15" s="11" t="n">
        <v>2024</v>
      </c>
      <c r="D15" s="11" t="n">
        <v>11</v>
      </c>
      <c r="E15" s="5" t="inlineStr">
        <is>
          <t>noviembre</t>
        </is>
      </c>
      <c r="F15" s="5" t="inlineStr">
        <is>
          <t>Noviembre</t>
        </is>
      </c>
      <c r="G15" s="27" t="n">
        <v>45621</v>
      </c>
      <c r="H15" s="5" t="inlineStr">
        <is>
          <t>Histórico</t>
        </is>
      </c>
    </row>
    <row r="16">
      <c r="A16" s="28" t="n">
        <v>45627</v>
      </c>
      <c r="B16" s="5" t="inlineStr">
        <is>
          <t>2024-12</t>
        </is>
      </c>
      <c r="C16" s="11" t="n">
        <v>2024</v>
      </c>
      <c r="D16" s="11" t="n">
        <v>12</v>
      </c>
      <c r="E16" s="5" t="inlineStr">
        <is>
          <t>diciembre</t>
        </is>
      </c>
      <c r="F16" s="5" t="inlineStr">
        <is>
          <t>Diciembre</t>
        </is>
      </c>
      <c r="G16" s="27" t="n">
        <v>45651</v>
      </c>
      <c r="H16" s="5" t="inlineStr">
        <is>
          <t>Histórico</t>
        </is>
      </c>
    </row>
    <row r="17">
      <c r="A17" s="28" t="n">
        <v>45658</v>
      </c>
      <c r="B17" s="5" t="inlineStr">
        <is>
          <t>2025-01</t>
        </is>
      </c>
      <c r="C17" s="11" t="n">
        <v>2025</v>
      </c>
      <c r="D17" s="11" t="n">
        <v>1</v>
      </c>
      <c r="E17" s="5" t="inlineStr">
        <is>
          <t>enero</t>
        </is>
      </c>
      <c r="F17" s="5" t="inlineStr">
        <is>
          <t>Enero</t>
        </is>
      </c>
      <c r="G17" s="27" t="n">
        <v>45682</v>
      </c>
      <c r="H17" s="5" t="inlineStr">
        <is>
          <t>Histórico</t>
        </is>
      </c>
    </row>
    <row r="18">
      <c r="A18" s="28" t="n">
        <v>45689</v>
      </c>
      <c r="B18" s="5" t="inlineStr">
        <is>
          <t>2025-02</t>
        </is>
      </c>
      <c r="C18" s="11" t="n">
        <v>2025</v>
      </c>
      <c r="D18" s="11" t="n">
        <v>2</v>
      </c>
      <c r="E18" s="5" t="inlineStr">
        <is>
          <t>febrero</t>
        </is>
      </c>
      <c r="F18" s="5" t="inlineStr">
        <is>
          <t>Febrero</t>
        </is>
      </c>
      <c r="G18" s="27" t="n">
        <v>45713</v>
      </c>
      <c r="H18" s="5" t="inlineStr">
        <is>
          <t>Histórico</t>
        </is>
      </c>
    </row>
    <row r="19">
      <c r="A19" s="28" t="n">
        <v>45717</v>
      </c>
      <c r="B19" s="5" t="inlineStr">
        <is>
          <t>2025-03</t>
        </is>
      </c>
      <c r="C19" s="11" t="n">
        <v>2025</v>
      </c>
      <c r="D19" s="11" t="n">
        <v>3</v>
      </c>
      <c r="E19" s="5" t="inlineStr">
        <is>
          <t>marzo</t>
        </is>
      </c>
      <c r="F19" s="5" t="inlineStr">
        <is>
          <t>Marzo</t>
        </is>
      </c>
      <c r="G19" s="27" t="n">
        <v>45741</v>
      </c>
      <c r="H19" s="5" t="inlineStr">
        <is>
          <t>Histórico</t>
        </is>
      </c>
    </row>
    <row r="20">
      <c r="A20" s="28" t="n">
        <v>45748</v>
      </c>
      <c r="B20" s="5" t="inlineStr">
        <is>
          <t>2025-04</t>
        </is>
      </c>
      <c r="C20" s="11" t="n">
        <v>2025</v>
      </c>
      <c r="D20" s="11" t="n">
        <v>4</v>
      </c>
      <c r="E20" s="5" t="inlineStr">
        <is>
          <t>abril</t>
        </is>
      </c>
      <c r="F20" s="5" t="inlineStr">
        <is>
          <t>Abril</t>
        </is>
      </c>
      <c r="G20" s="27" t="n">
        <v>45772</v>
      </c>
      <c r="H20" s="5" t="inlineStr">
        <is>
          <t>Histórico</t>
        </is>
      </c>
    </row>
    <row r="21">
      <c r="A21" s="28" t="n">
        <v>45778</v>
      </c>
      <c r="B21" s="5" t="inlineStr">
        <is>
          <t>2025-05</t>
        </is>
      </c>
      <c r="C21" s="11" t="n">
        <v>2025</v>
      </c>
      <c r="D21" s="11" t="n">
        <v>5</v>
      </c>
      <c r="E21" s="5" t="inlineStr">
        <is>
          <t>mayo</t>
        </is>
      </c>
      <c r="F21" s="5" t="inlineStr">
        <is>
          <t>Mayo</t>
        </is>
      </c>
      <c r="G21" s="27" t="n">
        <v>45802</v>
      </c>
      <c r="H21" s="5" t="inlineStr">
        <is>
          <t>Histórico</t>
        </is>
      </c>
    </row>
    <row r="22">
      <c r="A22" s="28" t="n">
        <v>45809</v>
      </c>
      <c r="B22" s="5" t="inlineStr">
        <is>
          <t>2025-06</t>
        </is>
      </c>
      <c r="C22" s="11" t="n">
        <v>2025</v>
      </c>
      <c r="D22" s="11" t="n">
        <v>6</v>
      </c>
      <c r="E22" s="5" t="inlineStr">
        <is>
          <t>junio</t>
        </is>
      </c>
      <c r="F22" s="5" t="inlineStr">
        <is>
          <t>Junio</t>
        </is>
      </c>
      <c r="G22" s="27" t="n">
        <v>45833</v>
      </c>
      <c r="H22" s="5" t="inlineStr">
        <is>
          <t>Histórico</t>
        </is>
      </c>
    </row>
    <row r="23">
      <c r="A23" s="28" t="n">
        <v>45839</v>
      </c>
      <c r="B23" s="5" t="inlineStr">
        <is>
          <t>2025-07</t>
        </is>
      </c>
      <c r="C23" s="11" t="n">
        <v>2025</v>
      </c>
      <c r="D23" s="11" t="n">
        <v>7</v>
      </c>
      <c r="E23" s="5" t="inlineStr">
        <is>
          <t>julio</t>
        </is>
      </c>
      <c r="F23" s="5" t="inlineStr">
        <is>
          <t>Julio</t>
        </is>
      </c>
      <c r="G23" s="27" t="n">
        <v>45863</v>
      </c>
      <c r="H23" s="5" t="inlineStr">
        <is>
          <t>Histórico</t>
        </is>
      </c>
    </row>
    <row r="24">
      <c r="A24" s="28" t="n">
        <v>45870</v>
      </c>
      <c r="B24" s="5" t="inlineStr">
        <is>
          <t>2025-08</t>
        </is>
      </c>
      <c r="C24" s="11" t="n">
        <v>2025</v>
      </c>
      <c r="D24" s="11" t="n">
        <v>8</v>
      </c>
      <c r="E24" s="5" t="inlineStr">
        <is>
          <t>agosto</t>
        </is>
      </c>
      <c r="F24" s="5" t="inlineStr">
        <is>
          <t>Agosto</t>
        </is>
      </c>
      <c r="G24" s="27" t="n">
        <v>45894</v>
      </c>
      <c r="H24" s="5" t="inlineStr">
        <is>
          <t>Histórico</t>
        </is>
      </c>
    </row>
    <row r="25">
      <c r="A25" s="28" t="n">
        <v>45901</v>
      </c>
      <c r="B25" s="5" t="inlineStr">
        <is>
          <t>2025-09</t>
        </is>
      </c>
      <c r="C25" s="11" t="n">
        <v>2025</v>
      </c>
      <c r="D25" s="11" t="n">
        <v>9</v>
      </c>
      <c r="E25" s="5" t="inlineStr">
        <is>
          <t>septiembre</t>
        </is>
      </c>
      <c r="F25" s="5" t="inlineStr">
        <is>
          <t>Septiembre</t>
        </is>
      </c>
      <c r="G25" s="27" t="n">
        <v>45925</v>
      </c>
      <c r="H25" s="5" t="inlineStr">
        <is>
          <t>Histórico</t>
        </is>
      </c>
    </row>
    <row r="26">
      <c r="A26" s="28" t="n">
        <v>45931</v>
      </c>
      <c r="B26" s="5" t="inlineStr">
        <is>
          <t>2025-10</t>
        </is>
      </c>
      <c r="C26" s="11" t="n">
        <v>2025</v>
      </c>
      <c r="D26" s="11" t="n">
        <v>10</v>
      </c>
      <c r="E26" s="5" t="inlineStr">
        <is>
          <t>octubre</t>
        </is>
      </c>
      <c r="F26" s="5" t="inlineStr">
        <is>
          <t>Octubre</t>
        </is>
      </c>
      <c r="G26" s="27" t="n">
        <v>45955</v>
      </c>
      <c r="H26" s="5" t="inlineStr">
        <is>
          <t>Histórico</t>
        </is>
      </c>
    </row>
    <row r="27">
      <c r="A27" s="28" t="n">
        <v>45962</v>
      </c>
      <c r="B27" s="5" t="inlineStr">
        <is>
          <t>2025-11</t>
        </is>
      </c>
      <c r="C27" s="11" t="n">
        <v>2025</v>
      </c>
      <c r="D27" s="11" t="n">
        <v>11</v>
      </c>
      <c r="E27" s="5" t="inlineStr">
        <is>
          <t>noviembre</t>
        </is>
      </c>
      <c r="F27" s="5" t="inlineStr">
        <is>
          <t>Noviembre</t>
        </is>
      </c>
      <c r="G27" s="27" t="n">
        <v>45986</v>
      </c>
      <c r="H27" s="5" t="inlineStr">
        <is>
          <t>Histórico</t>
        </is>
      </c>
    </row>
    <row r="28">
      <c r="A28" s="28" t="n">
        <v>45992</v>
      </c>
      <c r="B28" s="5" t="inlineStr">
        <is>
          <t>2025-12</t>
        </is>
      </c>
      <c r="C28" s="11" t="n">
        <v>2025</v>
      </c>
      <c r="D28" s="11" t="n">
        <v>12</v>
      </c>
      <c r="E28" s="5" t="inlineStr">
        <is>
          <t>diciembre</t>
        </is>
      </c>
      <c r="F28" s="5" t="inlineStr">
        <is>
          <t>Diciembre</t>
        </is>
      </c>
      <c r="G28" s="27" t="n">
        <v>46016</v>
      </c>
      <c r="H28" s="5" t="inlineStr">
        <is>
          <t>Histórico</t>
        </is>
      </c>
    </row>
    <row r="29">
      <c r="A29" s="28" t="n">
        <v>46023</v>
      </c>
      <c r="B29" s="5" t="inlineStr">
        <is>
          <t>2026-01</t>
        </is>
      </c>
      <c r="C29" s="11" t="n">
        <v>2026</v>
      </c>
      <c r="D29" s="11" t="n">
        <v>1</v>
      </c>
      <c r="E29" s="5" t="inlineStr">
        <is>
          <t>enero</t>
        </is>
      </c>
      <c r="F29" s="5" t="inlineStr">
        <is>
          <t>Enero</t>
        </is>
      </c>
      <c r="G29" s="27" t="n">
        <v>46047</v>
      </c>
      <c r="H29" s="5" t="inlineStr">
        <is>
          <t>Abierto</t>
        </is>
      </c>
    </row>
    <row r="30">
      <c r="A30" s="28" t="n">
        <v>46054</v>
      </c>
      <c r="B30" s="5" t="inlineStr">
        <is>
          <t>2026-02</t>
        </is>
      </c>
      <c r="C30" s="11" t="n">
        <v>2026</v>
      </c>
      <c r="D30" s="11" t="n">
        <v>2</v>
      </c>
      <c r="E30" s="5" t="inlineStr">
        <is>
          <t>febrero</t>
        </is>
      </c>
      <c r="F30" s="5" t="inlineStr">
        <is>
          <t>Febrero</t>
        </is>
      </c>
      <c r="G30" s="27" t="n">
        <v>46078</v>
      </c>
      <c r="H30" s="5" t="inlineStr">
        <is>
          <t>Abierto</t>
        </is>
      </c>
    </row>
    <row r="31">
      <c r="A31" s="28" t="n">
        <v>46082</v>
      </c>
      <c r="B31" s="5" t="inlineStr">
        <is>
          <t>2026-03</t>
        </is>
      </c>
      <c r="C31" s="11" t="n">
        <v>2026</v>
      </c>
      <c r="D31" s="11" t="n">
        <v>3</v>
      </c>
      <c r="E31" s="5" t="inlineStr">
        <is>
          <t>marzo</t>
        </is>
      </c>
      <c r="F31" s="5" t="inlineStr">
        <is>
          <t>Marzo</t>
        </is>
      </c>
      <c r="G31" s="27" t="n">
        <v>46106</v>
      </c>
      <c r="H31" s="5" t="inlineStr">
        <is>
          <t>Abierto</t>
        </is>
      </c>
    </row>
    <row r="32">
      <c r="A32" s="28" t="n">
        <v>46113</v>
      </c>
      <c r="B32" s="5" t="inlineStr">
        <is>
          <t>2026-04</t>
        </is>
      </c>
      <c r="C32" s="11" t="n">
        <v>2026</v>
      </c>
      <c r="D32" s="11" t="n">
        <v>4</v>
      </c>
      <c r="E32" s="5" t="inlineStr">
        <is>
          <t>abril</t>
        </is>
      </c>
      <c r="F32" s="5" t="inlineStr">
        <is>
          <t>Abril</t>
        </is>
      </c>
      <c r="G32" s="27" t="n">
        <v>46137</v>
      </c>
      <c r="H32" s="5" t="inlineStr">
        <is>
          <t>Abierto</t>
        </is>
      </c>
    </row>
    <row r="33">
      <c r="A33" s="28" t="n">
        <v>46143</v>
      </c>
      <c r="B33" s="5" t="inlineStr">
        <is>
          <t>2026-05</t>
        </is>
      </c>
      <c r="C33" s="11" t="n">
        <v>2026</v>
      </c>
      <c r="D33" s="11" t="n">
        <v>5</v>
      </c>
      <c r="E33" s="5" t="inlineStr">
        <is>
          <t>mayo</t>
        </is>
      </c>
      <c r="F33" s="5" t="inlineStr">
        <is>
          <t>Mayo</t>
        </is>
      </c>
      <c r="G33" s="27" t="n">
        <v>46167</v>
      </c>
      <c r="H33" s="5" t="inlineStr">
        <is>
          <t>Abierto</t>
        </is>
      </c>
    </row>
    <row r="34">
      <c r="A34" s="28" t="n">
        <v>46174</v>
      </c>
      <c r="B34" s="5" t="inlineStr">
        <is>
          <t>2026-06</t>
        </is>
      </c>
      <c r="C34" s="11" t="n">
        <v>2026</v>
      </c>
      <c r="D34" s="11" t="n">
        <v>6</v>
      </c>
      <c r="E34" s="5" t="inlineStr">
        <is>
          <t>junio</t>
        </is>
      </c>
      <c r="F34" s="5" t="inlineStr">
        <is>
          <t>Junio</t>
        </is>
      </c>
      <c r="G34" s="27" t="n">
        <v>46198</v>
      </c>
      <c r="H34" s="5" t="inlineStr">
        <is>
          <t>Abierto</t>
        </is>
      </c>
    </row>
    <row r="35">
      <c r="A35" s="28" t="n">
        <v>46204</v>
      </c>
      <c r="B35" s="5" t="inlineStr">
        <is>
          <t>2026-07</t>
        </is>
      </c>
      <c r="C35" s="11" t="n">
        <v>2026</v>
      </c>
      <c r="D35" s="11" t="n">
        <v>7</v>
      </c>
      <c r="E35" s="5" t="inlineStr">
        <is>
          <t>julio</t>
        </is>
      </c>
      <c r="F35" s="5" t="inlineStr">
        <is>
          <t>Julio</t>
        </is>
      </c>
      <c r="G35" s="27" t="n">
        <v>46228</v>
      </c>
      <c r="H35" s="5" t="inlineStr">
        <is>
          <t>Abierto</t>
        </is>
      </c>
    </row>
    <row r="36">
      <c r="A36" s="28" t="n">
        <v>46235</v>
      </c>
      <c r="B36" s="5" t="inlineStr">
        <is>
          <t>2026-08</t>
        </is>
      </c>
      <c r="C36" s="11" t="n">
        <v>2026</v>
      </c>
      <c r="D36" s="11" t="n">
        <v>8</v>
      </c>
      <c r="E36" s="5" t="inlineStr">
        <is>
          <t>agosto</t>
        </is>
      </c>
      <c r="F36" s="5" t="inlineStr">
        <is>
          <t>Agosto</t>
        </is>
      </c>
      <c r="G36" s="27" t="n">
        <v>46259</v>
      </c>
      <c r="H36" s="5" t="inlineStr">
        <is>
          <t>Abierto</t>
        </is>
      </c>
    </row>
    <row r="37">
      <c r="A37" s="28" t="n">
        <v>46266</v>
      </c>
      <c r="B37" s="5" t="inlineStr">
        <is>
          <t>2026-09</t>
        </is>
      </c>
      <c r="C37" s="11" t="n">
        <v>2026</v>
      </c>
      <c r="D37" s="11" t="n">
        <v>9</v>
      </c>
      <c r="E37" s="5" t="inlineStr">
        <is>
          <t>septiembre</t>
        </is>
      </c>
      <c r="F37" s="5" t="inlineStr">
        <is>
          <t>Septiembre</t>
        </is>
      </c>
      <c r="G37" s="27" t="n">
        <v>46290</v>
      </c>
      <c r="H37" s="5" t="inlineStr">
        <is>
          <t>Abierto</t>
        </is>
      </c>
    </row>
    <row r="38">
      <c r="A38" s="28" t="n">
        <v>46296</v>
      </c>
      <c r="B38" s="5" t="inlineStr">
        <is>
          <t>2026-10</t>
        </is>
      </c>
      <c r="C38" s="11" t="n">
        <v>2026</v>
      </c>
      <c r="D38" s="11" t="n">
        <v>10</v>
      </c>
      <c r="E38" s="5" t="inlineStr">
        <is>
          <t>octubre</t>
        </is>
      </c>
      <c r="F38" s="5" t="inlineStr">
        <is>
          <t>Octubre</t>
        </is>
      </c>
      <c r="G38" s="27" t="n">
        <v>46320</v>
      </c>
      <c r="H38" s="5" t="inlineStr">
        <is>
          <t>Abierto</t>
        </is>
      </c>
    </row>
    <row r="39">
      <c r="A39" s="28" t="n">
        <v>46327</v>
      </c>
      <c r="B39" s="5" t="inlineStr">
        <is>
          <t>2026-11</t>
        </is>
      </c>
      <c r="C39" s="11" t="n">
        <v>2026</v>
      </c>
      <c r="D39" s="11" t="n">
        <v>11</v>
      </c>
      <c r="E39" s="5" t="inlineStr">
        <is>
          <t>noviembre</t>
        </is>
      </c>
      <c r="F39" s="5" t="inlineStr">
        <is>
          <t>Noviembre</t>
        </is>
      </c>
      <c r="G39" s="27" t="n">
        <v>46351</v>
      </c>
      <c r="H39" s="5" t="inlineStr">
        <is>
          <t>Abierto</t>
        </is>
      </c>
    </row>
    <row r="40">
      <c r="A40" s="28" t="n">
        <v>46357</v>
      </c>
      <c r="B40" s="5" t="inlineStr">
        <is>
          <t>2026-12</t>
        </is>
      </c>
      <c r="C40" s="11" t="n">
        <v>2026</v>
      </c>
      <c r="D40" s="11" t="n">
        <v>12</v>
      </c>
      <c r="E40" s="5" t="inlineStr">
        <is>
          <t>diciembre</t>
        </is>
      </c>
      <c r="F40" s="5" t="inlineStr">
        <is>
          <t>Diciembre</t>
        </is>
      </c>
      <c r="G40" s="27" t="n">
        <v>46381</v>
      </c>
      <c r="H40" s="5" t="inlineStr">
        <is>
          <t>Abierto</t>
        </is>
      </c>
    </row>
    <row r="41">
      <c r="A41" s="28" t="n">
        <v>46388</v>
      </c>
      <c r="B41" s="5" t="inlineStr">
        <is>
          <t>2027-01</t>
        </is>
      </c>
      <c r="C41" s="11" t="n">
        <v>2027</v>
      </c>
      <c r="D41" s="11" t="n">
        <v>1</v>
      </c>
      <c r="E41" s="5" t="inlineStr">
        <is>
          <t>enero</t>
        </is>
      </c>
      <c r="F41" s="5" t="inlineStr">
        <is>
          <t>Enero</t>
        </is>
      </c>
      <c r="G41" s="27" t="n">
        <v>46412</v>
      </c>
      <c r="H41" s="5" t="inlineStr">
        <is>
          <t>Abierto</t>
        </is>
      </c>
    </row>
    <row r="42">
      <c r="A42" s="28" t="n">
        <v>46419</v>
      </c>
      <c r="B42" s="5" t="inlineStr">
        <is>
          <t>2027-02</t>
        </is>
      </c>
      <c r="C42" s="11" t="n">
        <v>2027</v>
      </c>
      <c r="D42" s="11" t="n">
        <v>2</v>
      </c>
      <c r="E42" s="5" t="inlineStr">
        <is>
          <t>febrero</t>
        </is>
      </c>
      <c r="F42" s="5" t="inlineStr">
        <is>
          <t>Febrero</t>
        </is>
      </c>
      <c r="G42" s="27" t="n">
        <v>46443</v>
      </c>
      <c r="H42" s="5" t="inlineStr">
        <is>
          <t>Abierto</t>
        </is>
      </c>
    </row>
    <row r="43">
      <c r="A43" s="28" t="n">
        <v>46447</v>
      </c>
      <c r="B43" s="5" t="inlineStr">
        <is>
          <t>2027-03</t>
        </is>
      </c>
      <c r="C43" s="11" t="n">
        <v>2027</v>
      </c>
      <c r="D43" s="11" t="n">
        <v>3</v>
      </c>
      <c r="E43" s="5" t="inlineStr">
        <is>
          <t>marzo</t>
        </is>
      </c>
      <c r="F43" s="5" t="inlineStr">
        <is>
          <t>Marzo</t>
        </is>
      </c>
      <c r="G43" s="27" t="n">
        <v>46471</v>
      </c>
      <c r="H43" s="5" t="inlineStr">
        <is>
          <t>Abierto</t>
        </is>
      </c>
    </row>
    <row r="44">
      <c r="A44" s="28" t="n">
        <v>46478</v>
      </c>
      <c r="B44" s="5" t="inlineStr">
        <is>
          <t>2027-04</t>
        </is>
      </c>
      <c r="C44" s="11" t="n">
        <v>2027</v>
      </c>
      <c r="D44" s="11" t="n">
        <v>4</v>
      </c>
      <c r="E44" s="5" t="inlineStr">
        <is>
          <t>abril</t>
        </is>
      </c>
      <c r="F44" s="5" t="inlineStr">
        <is>
          <t>Abril</t>
        </is>
      </c>
      <c r="G44" s="27" t="n">
        <v>46502</v>
      </c>
      <c r="H44" s="5" t="inlineStr">
        <is>
          <t>Abierto</t>
        </is>
      </c>
    </row>
    <row r="45">
      <c r="A45" s="28" t="n">
        <v>46508</v>
      </c>
      <c r="B45" s="5" t="inlineStr">
        <is>
          <t>2027-05</t>
        </is>
      </c>
      <c r="C45" s="11" t="n">
        <v>2027</v>
      </c>
      <c r="D45" s="11" t="n">
        <v>5</v>
      </c>
      <c r="E45" s="5" t="inlineStr">
        <is>
          <t>mayo</t>
        </is>
      </c>
      <c r="F45" s="5" t="inlineStr">
        <is>
          <t>Mayo</t>
        </is>
      </c>
      <c r="G45" s="27" t="n">
        <v>46532</v>
      </c>
      <c r="H45" s="5" t="inlineStr">
        <is>
          <t>Abierto</t>
        </is>
      </c>
    </row>
    <row r="46">
      <c r="A46" s="28" t="n">
        <v>46539</v>
      </c>
      <c r="B46" s="5" t="inlineStr">
        <is>
          <t>2027-06</t>
        </is>
      </c>
      <c r="C46" s="11" t="n">
        <v>2027</v>
      </c>
      <c r="D46" s="11" t="n">
        <v>6</v>
      </c>
      <c r="E46" s="5" t="inlineStr">
        <is>
          <t>junio</t>
        </is>
      </c>
      <c r="F46" s="5" t="inlineStr">
        <is>
          <t>Junio</t>
        </is>
      </c>
      <c r="G46" s="27" t="n">
        <v>46563</v>
      </c>
      <c r="H46" s="5" t="inlineStr">
        <is>
          <t>Abierto</t>
        </is>
      </c>
    </row>
    <row r="47">
      <c r="A47" s="28" t="n">
        <v>46569</v>
      </c>
      <c r="B47" s="5" t="inlineStr">
        <is>
          <t>2027-07</t>
        </is>
      </c>
      <c r="C47" s="11" t="n">
        <v>2027</v>
      </c>
      <c r="D47" s="11" t="n">
        <v>7</v>
      </c>
      <c r="E47" s="5" t="inlineStr">
        <is>
          <t>julio</t>
        </is>
      </c>
      <c r="F47" s="5" t="inlineStr">
        <is>
          <t>Julio</t>
        </is>
      </c>
      <c r="G47" s="27" t="n">
        <v>46593</v>
      </c>
      <c r="H47" s="5" t="inlineStr">
        <is>
          <t>Abierto</t>
        </is>
      </c>
    </row>
    <row r="48">
      <c r="A48" s="28" t="n">
        <v>46600</v>
      </c>
      <c r="B48" s="5" t="inlineStr">
        <is>
          <t>2027-08</t>
        </is>
      </c>
      <c r="C48" s="11" t="n">
        <v>2027</v>
      </c>
      <c r="D48" s="11" t="n">
        <v>8</v>
      </c>
      <c r="E48" s="5" t="inlineStr">
        <is>
          <t>agosto</t>
        </is>
      </c>
      <c r="F48" s="5" t="inlineStr">
        <is>
          <t>Agosto</t>
        </is>
      </c>
      <c r="G48" s="27" t="n">
        <v>46624</v>
      </c>
      <c r="H48" s="5" t="inlineStr">
        <is>
          <t>Abierto</t>
        </is>
      </c>
    </row>
    <row r="49">
      <c r="A49" s="28" t="n">
        <v>46631</v>
      </c>
      <c r="B49" s="5" t="inlineStr">
        <is>
          <t>2027-09</t>
        </is>
      </c>
      <c r="C49" s="11" t="n">
        <v>2027</v>
      </c>
      <c r="D49" s="11" t="n">
        <v>9</v>
      </c>
      <c r="E49" s="5" t="inlineStr">
        <is>
          <t>septiembre</t>
        </is>
      </c>
      <c r="F49" s="5" t="inlineStr">
        <is>
          <t>Septiembre</t>
        </is>
      </c>
      <c r="G49" s="27" t="n">
        <v>46655</v>
      </c>
      <c r="H49" s="5" t="inlineStr">
        <is>
          <t>Abierto</t>
        </is>
      </c>
    </row>
    <row r="50">
      <c r="A50" s="28" t="n">
        <v>46661</v>
      </c>
      <c r="B50" s="5" t="inlineStr">
        <is>
          <t>2027-10</t>
        </is>
      </c>
      <c r="C50" s="11" t="n">
        <v>2027</v>
      </c>
      <c r="D50" s="11" t="n">
        <v>10</v>
      </c>
      <c r="E50" s="5" t="inlineStr">
        <is>
          <t>octubre</t>
        </is>
      </c>
      <c r="F50" s="5" t="inlineStr">
        <is>
          <t>Octubre</t>
        </is>
      </c>
      <c r="G50" s="27" t="n">
        <v>46685</v>
      </c>
      <c r="H50" s="5" t="inlineStr">
        <is>
          <t>Abierto</t>
        </is>
      </c>
    </row>
    <row r="51">
      <c r="A51" s="28" t="n">
        <v>46692</v>
      </c>
      <c r="B51" s="5" t="inlineStr">
        <is>
          <t>2027-11</t>
        </is>
      </c>
      <c r="C51" s="11" t="n">
        <v>2027</v>
      </c>
      <c r="D51" s="11" t="n">
        <v>11</v>
      </c>
      <c r="E51" s="5" t="inlineStr">
        <is>
          <t>noviembre</t>
        </is>
      </c>
      <c r="F51" s="5" t="inlineStr">
        <is>
          <t>Noviembre</t>
        </is>
      </c>
      <c r="G51" s="27" t="n">
        <v>46716</v>
      </c>
      <c r="H51" s="5" t="inlineStr">
        <is>
          <t>Abierto</t>
        </is>
      </c>
    </row>
    <row r="52">
      <c r="A52" s="28" t="n">
        <v>46722</v>
      </c>
      <c r="B52" s="5" t="inlineStr">
        <is>
          <t>2027-12</t>
        </is>
      </c>
      <c r="C52" s="11" t="n">
        <v>2027</v>
      </c>
      <c r="D52" s="11" t="n">
        <v>12</v>
      </c>
      <c r="E52" s="5" t="inlineStr">
        <is>
          <t>diciembre</t>
        </is>
      </c>
      <c r="F52" s="5" t="inlineStr">
        <is>
          <t>Diciembre</t>
        </is>
      </c>
      <c r="G52" s="27" t="n">
        <v>46746</v>
      </c>
      <c r="H52" s="5" t="inlineStr">
        <is>
          <t>Abierto</t>
        </is>
      </c>
    </row>
    <row r="53">
      <c r="A53" s="28" t="n">
        <v>46753</v>
      </c>
      <c r="B53" s="5" t="inlineStr">
        <is>
          <t>2028-01</t>
        </is>
      </c>
      <c r="C53" s="11" t="n">
        <v>2028</v>
      </c>
      <c r="D53" s="11" t="n">
        <v>1</v>
      </c>
      <c r="E53" s="5" t="inlineStr">
        <is>
          <t>enero</t>
        </is>
      </c>
      <c r="F53" s="5" t="inlineStr">
        <is>
          <t>Enero</t>
        </is>
      </c>
      <c r="G53" s="27" t="n">
        <v>46777</v>
      </c>
      <c r="H53" s="5" t="inlineStr">
        <is>
          <t>Abierto</t>
        </is>
      </c>
    </row>
    <row r="54">
      <c r="A54" s="28" t="n">
        <v>46784</v>
      </c>
      <c r="B54" s="5" t="inlineStr">
        <is>
          <t>2028-02</t>
        </is>
      </c>
      <c r="C54" s="11" t="n">
        <v>2028</v>
      </c>
      <c r="D54" s="11" t="n">
        <v>2</v>
      </c>
      <c r="E54" s="5" t="inlineStr">
        <is>
          <t>febrero</t>
        </is>
      </c>
      <c r="F54" s="5" t="inlineStr">
        <is>
          <t>Febrero</t>
        </is>
      </c>
      <c r="G54" s="27" t="n">
        <v>46808</v>
      </c>
      <c r="H54" s="5" t="inlineStr">
        <is>
          <t>Abierto</t>
        </is>
      </c>
    </row>
    <row r="55">
      <c r="A55" s="28" t="n">
        <v>46813</v>
      </c>
      <c r="B55" s="5" t="inlineStr">
        <is>
          <t>2028-03</t>
        </is>
      </c>
      <c r="C55" s="11" t="n">
        <v>2028</v>
      </c>
      <c r="D55" s="11" t="n">
        <v>3</v>
      </c>
      <c r="E55" s="5" t="inlineStr">
        <is>
          <t>marzo</t>
        </is>
      </c>
      <c r="F55" s="5" t="inlineStr">
        <is>
          <t>Marzo</t>
        </is>
      </c>
      <c r="G55" s="27" t="n">
        <v>46837</v>
      </c>
      <c r="H55" s="5" t="inlineStr">
        <is>
          <t>Abierto</t>
        </is>
      </c>
    </row>
    <row r="56">
      <c r="A56" s="28" t="n">
        <v>46844</v>
      </c>
      <c r="B56" s="5" t="inlineStr">
        <is>
          <t>2028-04</t>
        </is>
      </c>
      <c r="C56" s="11" t="n">
        <v>2028</v>
      </c>
      <c r="D56" s="11" t="n">
        <v>4</v>
      </c>
      <c r="E56" s="5" t="inlineStr">
        <is>
          <t>abril</t>
        </is>
      </c>
      <c r="F56" s="5" t="inlineStr">
        <is>
          <t>Abril</t>
        </is>
      </c>
      <c r="G56" s="27" t="n">
        <v>46868</v>
      </c>
      <c r="H56" s="5" t="inlineStr">
        <is>
          <t>Abierto</t>
        </is>
      </c>
    </row>
    <row r="57">
      <c r="A57" s="28" t="n">
        <v>46874</v>
      </c>
      <c r="B57" s="5" t="inlineStr">
        <is>
          <t>2028-05</t>
        </is>
      </c>
      <c r="C57" s="11" t="n">
        <v>2028</v>
      </c>
      <c r="D57" s="11" t="n">
        <v>5</v>
      </c>
      <c r="E57" s="5" t="inlineStr">
        <is>
          <t>mayo</t>
        </is>
      </c>
      <c r="F57" s="5" t="inlineStr">
        <is>
          <t>Mayo</t>
        </is>
      </c>
      <c r="G57" s="27" t="n">
        <v>46898</v>
      </c>
      <c r="H57" s="5" t="inlineStr">
        <is>
          <t>Abierto</t>
        </is>
      </c>
    </row>
    <row r="58">
      <c r="A58" s="28" t="n">
        <v>46905</v>
      </c>
      <c r="B58" s="5" t="inlineStr">
        <is>
          <t>2028-06</t>
        </is>
      </c>
      <c r="C58" s="11" t="n">
        <v>2028</v>
      </c>
      <c r="D58" s="11" t="n">
        <v>6</v>
      </c>
      <c r="E58" s="5" t="inlineStr">
        <is>
          <t>junio</t>
        </is>
      </c>
      <c r="F58" s="5" t="inlineStr">
        <is>
          <t>Junio</t>
        </is>
      </c>
      <c r="G58" s="27" t="n">
        <v>46929</v>
      </c>
      <c r="H58" s="5" t="inlineStr">
        <is>
          <t>Abierto</t>
        </is>
      </c>
    </row>
    <row r="59">
      <c r="A59" s="28" t="n">
        <v>46935</v>
      </c>
      <c r="B59" s="5" t="inlineStr">
        <is>
          <t>2028-07</t>
        </is>
      </c>
      <c r="C59" s="11" t="n">
        <v>2028</v>
      </c>
      <c r="D59" s="11" t="n">
        <v>7</v>
      </c>
      <c r="E59" s="5" t="inlineStr">
        <is>
          <t>julio</t>
        </is>
      </c>
      <c r="F59" s="5" t="inlineStr">
        <is>
          <t>Julio</t>
        </is>
      </c>
      <c r="G59" s="27" t="n">
        <v>46959</v>
      </c>
      <c r="H59" s="5" t="inlineStr">
        <is>
          <t>Abierto</t>
        </is>
      </c>
    </row>
    <row r="60">
      <c r="A60" s="28" t="n">
        <v>46966</v>
      </c>
      <c r="B60" s="5" t="inlineStr">
        <is>
          <t>2028-08</t>
        </is>
      </c>
      <c r="C60" s="11" t="n">
        <v>2028</v>
      </c>
      <c r="D60" s="11" t="n">
        <v>8</v>
      </c>
      <c r="E60" s="5" t="inlineStr">
        <is>
          <t>agosto</t>
        </is>
      </c>
      <c r="F60" s="5" t="inlineStr">
        <is>
          <t>Agosto</t>
        </is>
      </c>
      <c r="G60" s="27" t="n">
        <v>46990</v>
      </c>
      <c r="H60" s="5" t="inlineStr">
        <is>
          <t>Abierto</t>
        </is>
      </c>
    </row>
    <row r="61">
      <c r="A61" s="28" t="n">
        <v>46997</v>
      </c>
      <c r="B61" s="5" t="inlineStr">
        <is>
          <t>2028-09</t>
        </is>
      </c>
      <c r="C61" s="11" t="n">
        <v>2028</v>
      </c>
      <c r="D61" s="11" t="n">
        <v>9</v>
      </c>
      <c r="E61" s="5" t="inlineStr">
        <is>
          <t>septiembre</t>
        </is>
      </c>
      <c r="F61" s="5" t="inlineStr">
        <is>
          <t>Septiembre</t>
        </is>
      </c>
      <c r="G61" s="27" t="n">
        <v>47021</v>
      </c>
      <c r="H61" s="5" t="inlineStr">
        <is>
          <t>Abierto</t>
        </is>
      </c>
    </row>
    <row r="62">
      <c r="A62" s="28" t="n">
        <v>47027</v>
      </c>
      <c r="B62" s="5" t="inlineStr">
        <is>
          <t>2028-10</t>
        </is>
      </c>
      <c r="C62" s="11" t="n">
        <v>2028</v>
      </c>
      <c r="D62" s="11" t="n">
        <v>10</v>
      </c>
      <c r="E62" s="5" t="inlineStr">
        <is>
          <t>octubre</t>
        </is>
      </c>
      <c r="F62" s="5" t="inlineStr">
        <is>
          <t>Octubre</t>
        </is>
      </c>
      <c r="G62" s="27" t="n">
        <v>47051</v>
      </c>
      <c r="H62" s="5" t="inlineStr">
        <is>
          <t>Abierto</t>
        </is>
      </c>
    </row>
    <row r="63">
      <c r="A63" s="28" t="n">
        <v>47058</v>
      </c>
      <c r="B63" s="5" t="inlineStr">
        <is>
          <t>2028-11</t>
        </is>
      </c>
      <c r="C63" s="11" t="n">
        <v>2028</v>
      </c>
      <c r="D63" s="11" t="n">
        <v>11</v>
      </c>
      <c r="E63" s="5" t="inlineStr">
        <is>
          <t>noviembre</t>
        </is>
      </c>
      <c r="F63" s="5" t="inlineStr">
        <is>
          <t>Noviembre</t>
        </is>
      </c>
      <c r="G63" s="27" t="n">
        <v>47082</v>
      </c>
      <c r="H63" s="5" t="inlineStr">
        <is>
          <t>Abierto</t>
        </is>
      </c>
    </row>
    <row r="64">
      <c r="A64" s="28" t="n">
        <v>47088</v>
      </c>
      <c r="B64" s="5" t="inlineStr">
        <is>
          <t>2028-12</t>
        </is>
      </c>
      <c r="C64" s="11" t="n">
        <v>2028</v>
      </c>
      <c r="D64" s="11" t="n">
        <v>12</v>
      </c>
      <c r="E64" s="5" t="inlineStr">
        <is>
          <t>diciembre</t>
        </is>
      </c>
      <c r="F64" s="5" t="inlineStr">
        <is>
          <t>Diciembre</t>
        </is>
      </c>
      <c r="G64" s="27" t="n">
        <v>47112</v>
      </c>
      <c r="H64" s="5" t="inlineStr">
        <is>
          <t>Abierto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26" customWidth="1" min="2" max="2"/>
    <col width="26" customWidth="1" min="3" max="3"/>
    <col width="36" customWidth="1" min="4" max="4"/>
    <col width="21" customWidth="1" min="5" max="5"/>
    <col width="27" customWidth="1" min="6" max="6"/>
    <col width="40" customWidth="1" min="7" max="7"/>
    <col width="13" customWidth="1" min="8" max="8"/>
    <col width="15" customWidth="1" min="9" max="9"/>
    <col width="10" customWidth="1" min="10" max="10"/>
    <col width="19" customWidth="1" min="11" max="11"/>
    <col width="10" customWidth="1" min="12" max="12"/>
    <col width="35" customWidth="1" min="13" max="13"/>
    <col width="21" customWidth="1" min="14" max="14"/>
    <col width="25" customWidth="1" min="15" max="15"/>
    <col width="40" customWidth="1" min="16" max="16"/>
    <col width="40" customWidth="1" min="17" max="17"/>
  </cols>
  <sheetData>
    <row r="1" ht="26" customHeight="1">
      <c r="A1" s="1" t="inlineStr">
        <is>
          <t>CAT_PREGUNTAS</t>
        </is>
      </c>
    </row>
    <row r="2"/>
    <row r="3"/>
    <row r="4" ht="24" customHeight="1">
      <c r="A4" s="42" t="inlineStr">
        <is>
          <t>question_id</t>
        </is>
      </c>
      <c r="B4" s="42" t="inlineStr">
        <is>
          <t>area_code</t>
        </is>
      </c>
      <c r="C4" s="42" t="inlineStr">
        <is>
          <t>form_code</t>
        </is>
      </c>
      <c r="D4" s="42" t="inlineStr">
        <is>
          <t>section</t>
        </is>
      </c>
      <c r="E4" s="42" t="inlineStr">
        <is>
          <t>group_key</t>
        </is>
      </c>
      <c r="F4" s="42" t="inlineStr">
        <is>
          <t>question_code</t>
        </is>
      </c>
      <c r="G4" s="42" t="inlineStr">
        <is>
          <t>label</t>
        </is>
      </c>
      <c r="H4" s="42" t="inlineStr">
        <is>
          <t>input_type</t>
        </is>
      </c>
      <c r="I4" s="42" t="inlineStr">
        <is>
          <t>unit</t>
        </is>
      </c>
      <c r="J4" s="42" t="inlineStr">
        <is>
          <t>required</t>
        </is>
      </c>
      <c r="K4" s="42" t="inlineStr">
        <is>
          <t>allow_observation</t>
        </is>
      </c>
      <c r="L4" s="42" t="inlineStr">
        <is>
          <t>order_n</t>
        </is>
      </c>
      <c r="M4" s="42" t="inlineStr">
        <is>
          <t>options</t>
        </is>
      </c>
      <c r="N4" s="42" t="inlineStr">
        <is>
          <t>list_code</t>
        </is>
      </c>
      <c r="O4" s="42" t="inlineStr">
        <is>
          <t>user_can_manage_options</t>
        </is>
      </c>
      <c r="P4" s="42" t="inlineStr">
        <is>
          <t>source_sheet</t>
        </is>
      </c>
      <c r="Q4" s="42" t="inlineStr">
        <is>
          <t>notes</t>
        </is>
      </c>
    </row>
    <row r="5">
      <c r="A5" t="inlineStr">
        <is>
          <t>ambiental.permits_obtained</t>
        </is>
      </c>
      <c r="B5" t="inlineStr">
        <is>
          <t>ambiental</t>
        </is>
      </c>
      <c r="C5" t="inlineStr">
        <is>
          <t>ambiental_contratista</t>
        </is>
      </c>
      <c r="D5" t="inlineStr">
        <is>
          <t>Ambiental por contratista</t>
        </is>
      </c>
      <c r="E5" t="inlineStr">
        <is>
          <t>ambiental</t>
        </is>
      </c>
      <c r="F5" t="inlineStr">
        <is>
          <t>permits_obtained</t>
        </is>
      </c>
      <c r="G5" t="inlineStr">
        <is>
          <t>Permisos MADES obtenidos</t>
        </is>
      </c>
      <c r="H5" t="inlineStr">
        <is>
          <t>text</t>
        </is>
      </c>
      <c r="I5" t="inlineStr"/>
      <c r="J5" t="inlineStr">
        <is>
          <t>No</t>
        </is>
      </c>
      <c r="K5" t="inlineStr">
        <is>
          <t>No</t>
        </is>
      </c>
      <c r="L5" t="n">
        <v>1</v>
      </c>
      <c r="M5" t="inlineStr"/>
      <c r="N5" t="inlineStr">
        <is>
          <t>contractors</t>
        </is>
      </c>
      <c r="O5" t="inlineStr">
        <is>
          <t>Sí</t>
        </is>
      </c>
      <c r="P5" t="inlineStr">
        <is>
          <t>Ambiental</t>
        </is>
      </c>
      <c r="Q5" t="inlineStr"/>
    </row>
    <row r="6">
      <c r="A6" t="inlineStr">
        <is>
          <t>ambiental.permits_in_process</t>
        </is>
      </c>
      <c r="B6" t="inlineStr">
        <is>
          <t>ambiental</t>
        </is>
      </c>
      <c r="C6" t="inlineStr">
        <is>
          <t>ambiental_contratista</t>
        </is>
      </c>
      <c r="D6" t="inlineStr">
        <is>
          <t>Ambiental por contratista</t>
        </is>
      </c>
      <c r="E6" t="inlineStr">
        <is>
          <t>ambiental</t>
        </is>
      </c>
      <c r="F6" t="inlineStr">
        <is>
          <t>permits_in_process</t>
        </is>
      </c>
      <c r="G6" t="inlineStr">
        <is>
          <t>Permisos en trámite</t>
        </is>
      </c>
      <c r="H6" t="inlineStr">
        <is>
          <t>text</t>
        </is>
      </c>
      <c r="I6" t="inlineStr"/>
      <c r="J6" t="inlineStr">
        <is>
          <t>No</t>
        </is>
      </c>
      <c r="K6" t="inlineStr">
        <is>
          <t>No</t>
        </is>
      </c>
      <c r="L6" t="n">
        <v>2</v>
      </c>
      <c r="M6" t="inlineStr"/>
      <c r="N6" t="inlineStr">
        <is>
          <t>contractors</t>
        </is>
      </c>
      <c r="O6" t="inlineStr">
        <is>
          <t>Sí</t>
        </is>
      </c>
      <c r="P6" t="inlineStr">
        <is>
          <t>Ambiental</t>
        </is>
      </c>
      <c r="Q6" t="inlineStr"/>
    </row>
    <row r="7">
      <c r="A7" t="inlineStr">
        <is>
          <t>ambiental.compliance_pct</t>
        </is>
      </c>
      <c r="B7" t="inlineStr">
        <is>
          <t>ambiental</t>
        </is>
      </c>
      <c r="C7" t="inlineStr">
        <is>
          <t>ambiental_contratista</t>
        </is>
      </c>
      <c r="D7" t="inlineStr">
        <is>
          <t>Ambiental por contratista</t>
        </is>
      </c>
      <c r="E7" t="inlineStr">
        <is>
          <t>ambiental</t>
        </is>
      </c>
      <c r="F7" t="inlineStr">
        <is>
          <t>compliance_pct</t>
        </is>
      </c>
      <c r="G7" t="inlineStr">
        <is>
          <t>Porcentaje de cumplimiento</t>
        </is>
      </c>
      <c r="H7" t="inlineStr">
        <is>
          <t>number</t>
        </is>
      </c>
      <c r="I7" t="inlineStr">
        <is>
          <t>%</t>
        </is>
      </c>
      <c r="J7" t="inlineStr">
        <is>
          <t>Sí</t>
        </is>
      </c>
      <c r="K7" t="inlineStr">
        <is>
          <t>No</t>
        </is>
      </c>
      <c r="L7" t="n">
        <v>3</v>
      </c>
      <c r="M7" t="inlineStr"/>
      <c r="N7" t="inlineStr">
        <is>
          <t>contractors</t>
        </is>
      </c>
      <c r="O7" t="inlineStr">
        <is>
          <t>Sí</t>
        </is>
      </c>
      <c r="P7" t="inlineStr">
        <is>
          <t>Ambiental</t>
        </is>
      </c>
      <c r="Q7" t="inlineStr"/>
    </row>
    <row r="8">
      <c r="A8" t="inlineStr">
        <is>
          <t>ambiental.inspections_n</t>
        </is>
      </c>
      <c r="B8" t="inlineStr">
        <is>
          <t>ambiental</t>
        </is>
      </c>
      <c r="C8" t="inlineStr">
        <is>
          <t>ambiental_contratista</t>
        </is>
      </c>
      <c r="D8" t="inlineStr">
        <is>
          <t>Ambiental por contratista</t>
        </is>
      </c>
      <c r="E8" t="inlineStr">
        <is>
          <t>ambiental</t>
        </is>
      </c>
      <c r="F8" t="inlineStr">
        <is>
          <t>inspections_n</t>
        </is>
      </c>
      <c r="G8" t="inlineStr">
        <is>
          <t>Nro. de inspecciones realizadas</t>
        </is>
      </c>
      <c r="H8" t="inlineStr">
        <is>
          <t>number</t>
        </is>
      </c>
      <c r="I8" t="inlineStr">
        <is>
          <t>n</t>
        </is>
      </c>
      <c r="J8" t="inlineStr">
        <is>
          <t>Sí</t>
        </is>
      </c>
      <c r="K8" t="inlineStr">
        <is>
          <t>No</t>
        </is>
      </c>
      <c r="L8" t="n">
        <v>4</v>
      </c>
      <c r="M8" t="inlineStr"/>
      <c r="N8" t="inlineStr">
        <is>
          <t>contractors</t>
        </is>
      </c>
      <c r="O8" t="inlineStr">
        <is>
          <t>Sí</t>
        </is>
      </c>
      <c r="P8" t="inlineStr">
        <is>
          <t>Ambiental</t>
        </is>
      </c>
      <c r="Q8" t="inlineStr"/>
    </row>
    <row r="9">
      <c r="A9" t="inlineStr">
        <is>
          <t>ambiental.observations</t>
        </is>
      </c>
      <c r="B9" t="inlineStr">
        <is>
          <t>ambiental</t>
        </is>
      </c>
      <c r="C9" t="inlineStr">
        <is>
          <t>ambiental_contratista</t>
        </is>
      </c>
      <c r="D9" t="inlineStr">
        <is>
          <t>Ambiental por contratista</t>
        </is>
      </c>
      <c r="E9" t="inlineStr">
        <is>
          <t>ambiental</t>
        </is>
      </c>
      <c r="F9" t="inlineStr">
        <is>
          <t>observations</t>
        </is>
      </c>
      <c r="G9" t="inlineStr">
        <is>
          <t>Observaciones</t>
        </is>
      </c>
      <c r="H9" t="inlineStr">
        <is>
          <t>long_text</t>
        </is>
      </c>
      <c r="I9" t="inlineStr"/>
      <c r="J9" t="inlineStr">
        <is>
          <t>No</t>
        </is>
      </c>
      <c r="K9" t="inlineStr">
        <is>
          <t>No</t>
        </is>
      </c>
      <c r="L9" t="n">
        <v>5</v>
      </c>
      <c r="M9" t="inlineStr"/>
      <c r="N9" t="inlineStr">
        <is>
          <t>contractors</t>
        </is>
      </c>
      <c r="O9" t="inlineStr">
        <is>
          <t>Sí</t>
        </is>
      </c>
      <c r="P9" t="inlineStr">
        <is>
          <t>Ambiental</t>
        </is>
      </c>
      <c r="Q9" t="inlineStr"/>
    </row>
    <row r="10">
      <c r="A10" t="inlineStr">
        <is>
          <t>compras.descuento_forestal_usd</t>
        </is>
      </c>
      <c r="B10" t="inlineStr">
        <is>
          <t>compras</t>
        </is>
      </c>
      <c r="C10" t="inlineStr">
        <is>
          <t>compras_mensual</t>
        </is>
      </c>
      <c r="D10" t="inlineStr">
        <is>
          <t>Compras</t>
        </is>
      </c>
      <c r="E10" t="inlineStr">
        <is>
          <t>compras</t>
        </is>
      </c>
      <c r="F10" t="inlineStr">
        <is>
          <t>descuento_forestal_usd</t>
        </is>
      </c>
      <c r="G10" t="inlineStr">
        <is>
          <t>Descuento obtenido, Forestal, USD</t>
        </is>
      </c>
      <c r="H10" t="inlineStr">
        <is>
          <t>number</t>
        </is>
      </c>
      <c r="I10" t="inlineStr">
        <is>
          <t>USD</t>
        </is>
      </c>
      <c r="J10" t="inlineStr">
        <is>
          <t>Sí</t>
        </is>
      </c>
      <c r="K10" t="inlineStr">
        <is>
          <t>No</t>
        </is>
      </c>
      <c r="L10" t="n">
        <v>1</v>
      </c>
      <c r="M10" t="inlineStr"/>
      <c r="N10" t="inlineStr"/>
      <c r="O10" t="inlineStr">
        <is>
          <t>No</t>
        </is>
      </c>
      <c r="P10" t="inlineStr">
        <is>
          <t>Compras</t>
        </is>
      </c>
      <c r="Q10" t="inlineStr"/>
    </row>
    <row r="11">
      <c r="A11" t="inlineStr">
        <is>
          <t>compras.descuento_forestal_pct</t>
        </is>
      </c>
      <c r="B11" t="inlineStr">
        <is>
          <t>compras</t>
        </is>
      </c>
      <c r="C11" t="inlineStr">
        <is>
          <t>compras_mensual</t>
        </is>
      </c>
      <c r="D11" t="inlineStr">
        <is>
          <t>Compras</t>
        </is>
      </c>
      <c r="E11" t="inlineStr">
        <is>
          <t>compras</t>
        </is>
      </c>
      <c r="F11" t="inlineStr">
        <is>
          <t>descuento_forestal_pct</t>
        </is>
      </c>
      <c r="G11" t="inlineStr">
        <is>
          <t>Descuento obtenido, Forestal, %</t>
        </is>
      </c>
      <c r="H11" t="inlineStr">
        <is>
          <t>number</t>
        </is>
      </c>
      <c r="I11" t="inlineStr">
        <is>
          <t>%</t>
        </is>
      </c>
      <c r="J11" t="inlineStr">
        <is>
          <t>Sí</t>
        </is>
      </c>
      <c r="K11" t="inlineStr">
        <is>
          <t>No</t>
        </is>
      </c>
      <c r="L11" t="n">
        <v>2</v>
      </c>
      <c r="M11" t="inlineStr"/>
      <c r="N11" t="inlineStr"/>
      <c r="O11" t="inlineStr">
        <is>
          <t>No</t>
        </is>
      </c>
      <c r="P11" t="inlineStr">
        <is>
          <t>Compras</t>
        </is>
      </c>
      <c r="Q11" t="inlineStr"/>
    </row>
    <row r="12">
      <c r="A12" t="inlineStr">
        <is>
          <t>compras.descuento_corporativo_usd</t>
        </is>
      </c>
      <c r="B12" t="inlineStr">
        <is>
          <t>compras</t>
        </is>
      </c>
      <c r="C12" t="inlineStr">
        <is>
          <t>compras_mensual</t>
        </is>
      </c>
      <c r="D12" t="inlineStr">
        <is>
          <t>Compras</t>
        </is>
      </c>
      <c r="E12" t="inlineStr">
        <is>
          <t>compras</t>
        </is>
      </c>
      <c r="F12" t="inlineStr">
        <is>
          <t>descuento_corporativo_usd</t>
        </is>
      </c>
      <c r="G12" t="inlineStr">
        <is>
          <t>Descuento obtenido, Corporativo, USD</t>
        </is>
      </c>
      <c r="H12" t="inlineStr">
        <is>
          <t>number</t>
        </is>
      </c>
      <c r="I12" t="inlineStr">
        <is>
          <t>USD</t>
        </is>
      </c>
      <c r="J12" t="inlineStr">
        <is>
          <t>Sí</t>
        </is>
      </c>
      <c r="K12" t="inlineStr">
        <is>
          <t>No</t>
        </is>
      </c>
      <c r="L12" t="n">
        <v>3</v>
      </c>
      <c r="M12" t="inlineStr"/>
      <c r="N12" t="inlineStr"/>
      <c r="O12" t="inlineStr">
        <is>
          <t>No</t>
        </is>
      </c>
      <c r="P12" t="inlineStr">
        <is>
          <t>Compras</t>
        </is>
      </c>
      <c r="Q12" t="inlineStr"/>
    </row>
    <row r="13">
      <c r="A13" t="inlineStr">
        <is>
          <t>compras.descuento_corporativo_pct</t>
        </is>
      </c>
      <c r="B13" t="inlineStr">
        <is>
          <t>compras</t>
        </is>
      </c>
      <c r="C13" t="inlineStr">
        <is>
          <t>compras_mensual</t>
        </is>
      </c>
      <c r="D13" t="inlineStr">
        <is>
          <t>Compras</t>
        </is>
      </c>
      <c r="E13" t="inlineStr">
        <is>
          <t>compras</t>
        </is>
      </c>
      <c r="F13" t="inlineStr">
        <is>
          <t>descuento_corporativo_pct</t>
        </is>
      </c>
      <c r="G13" t="inlineStr">
        <is>
          <t>Descuento obtenido, Corporativo, %</t>
        </is>
      </c>
      <c r="H13" t="inlineStr">
        <is>
          <t>number</t>
        </is>
      </c>
      <c r="I13" t="inlineStr">
        <is>
          <t>%</t>
        </is>
      </c>
      <c r="J13" t="inlineStr">
        <is>
          <t>Sí</t>
        </is>
      </c>
      <c r="K13" t="inlineStr">
        <is>
          <t>No</t>
        </is>
      </c>
      <c r="L13" t="n">
        <v>4</v>
      </c>
      <c r="M13" t="inlineStr"/>
      <c r="N13" t="inlineStr"/>
      <c r="O13" t="inlineStr">
        <is>
          <t>No</t>
        </is>
      </c>
      <c r="P13" t="inlineStr">
        <is>
          <t>Compras</t>
        </is>
      </c>
      <c r="Q13" t="inlineStr"/>
    </row>
    <row r="14">
      <c r="A14" t="inlineStr">
        <is>
          <t>compras.descuento_general_usd</t>
        </is>
      </c>
      <c r="B14" t="inlineStr">
        <is>
          <t>compras</t>
        </is>
      </c>
      <c r="C14" t="inlineStr">
        <is>
          <t>compras_mensual</t>
        </is>
      </c>
      <c r="D14" t="inlineStr">
        <is>
          <t>Compras</t>
        </is>
      </c>
      <c r="E14" t="inlineStr">
        <is>
          <t>compras</t>
        </is>
      </c>
      <c r="F14" t="inlineStr">
        <is>
          <t>descuento_general_usd</t>
        </is>
      </c>
      <c r="G14" t="inlineStr">
        <is>
          <t>Descuento obtenido, General, USD</t>
        </is>
      </c>
      <c r="H14" t="inlineStr">
        <is>
          <t>number</t>
        </is>
      </c>
      <c r="I14" t="inlineStr">
        <is>
          <t>USD</t>
        </is>
      </c>
      <c r="J14" t="inlineStr">
        <is>
          <t>Sí</t>
        </is>
      </c>
      <c r="K14" t="inlineStr">
        <is>
          <t>No</t>
        </is>
      </c>
      <c r="L14" t="n">
        <v>5</v>
      </c>
      <c r="M14" t="inlineStr"/>
      <c r="N14" t="inlineStr"/>
      <c r="O14" t="inlineStr">
        <is>
          <t>No</t>
        </is>
      </c>
      <c r="P14" t="inlineStr">
        <is>
          <t>Compras</t>
        </is>
      </c>
      <c r="Q14" t="inlineStr"/>
    </row>
    <row r="15">
      <c r="A15" t="inlineStr">
        <is>
          <t>compras.descuento_general_pct</t>
        </is>
      </c>
      <c r="B15" t="inlineStr">
        <is>
          <t>compras</t>
        </is>
      </c>
      <c r="C15" t="inlineStr">
        <is>
          <t>compras_mensual</t>
        </is>
      </c>
      <c r="D15" t="inlineStr">
        <is>
          <t>Compras</t>
        </is>
      </c>
      <c r="E15" t="inlineStr">
        <is>
          <t>compras</t>
        </is>
      </c>
      <c r="F15" t="inlineStr">
        <is>
          <t>descuento_general_pct</t>
        </is>
      </c>
      <c r="G15" t="inlineStr">
        <is>
          <t>Descuento obtenido, General, %</t>
        </is>
      </c>
      <c r="H15" t="inlineStr">
        <is>
          <t>number</t>
        </is>
      </c>
      <c r="I15" t="inlineStr">
        <is>
          <t>%</t>
        </is>
      </c>
      <c r="J15" t="inlineStr">
        <is>
          <t>Sí</t>
        </is>
      </c>
      <c r="K15" t="inlineStr">
        <is>
          <t>No</t>
        </is>
      </c>
      <c r="L15" t="n">
        <v>6</v>
      </c>
      <c r="M15" t="inlineStr"/>
      <c r="N15" t="inlineStr"/>
      <c r="O15" t="inlineStr">
        <is>
          <t>No</t>
        </is>
      </c>
      <c r="P15" t="inlineStr">
        <is>
          <t>Compras</t>
        </is>
      </c>
      <c r="Q15" t="inlineStr"/>
    </row>
    <row r="16">
      <c r="A16" t="inlineStr">
        <is>
          <t>compras.ordenes_emitidas</t>
        </is>
      </c>
      <c r="B16" t="inlineStr">
        <is>
          <t>compras</t>
        </is>
      </c>
      <c r="C16" t="inlineStr">
        <is>
          <t>compras_mensual</t>
        </is>
      </c>
      <c r="D16" t="inlineStr">
        <is>
          <t>Compras</t>
        </is>
      </c>
      <c r="E16" t="inlineStr">
        <is>
          <t>compras</t>
        </is>
      </c>
      <c r="F16" t="inlineStr">
        <is>
          <t>ordenes_emitidas</t>
        </is>
      </c>
      <c r="G16" t="inlineStr">
        <is>
          <t>Órdenes de compra emitidas</t>
        </is>
      </c>
      <c r="H16" t="inlineStr">
        <is>
          <t>number</t>
        </is>
      </c>
      <c r="I16" t="inlineStr">
        <is>
          <t>cantidad</t>
        </is>
      </c>
      <c r="J16" t="inlineStr">
        <is>
          <t>Sí</t>
        </is>
      </c>
      <c r="K16" t="inlineStr">
        <is>
          <t>No</t>
        </is>
      </c>
      <c r="L16" t="n">
        <v>7</v>
      </c>
      <c r="M16" t="inlineStr"/>
      <c r="N16" t="inlineStr"/>
      <c r="O16" t="inlineStr">
        <is>
          <t>No</t>
        </is>
      </c>
      <c r="P16" t="inlineStr">
        <is>
          <t>Compras</t>
        </is>
      </c>
      <c r="Q16" t="inlineStr"/>
    </row>
    <row r="17">
      <c r="A17" t="inlineStr">
        <is>
          <t>compras.sla_100_pct</t>
        </is>
      </c>
      <c r="B17" t="inlineStr">
        <is>
          <t>compras</t>
        </is>
      </c>
      <c r="C17" t="inlineStr">
        <is>
          <t>compras_mensual</t>
        </is>
      </c>
      <c r="D17" t="inlineStr">
        <is>
          <t>Compras</t>
        </is>
      </c>
      <c r="E17" t="inlineStr">
        <is>
          <t>compras</t>
        </is>
      </c>
      <c r="F17" t="inlineStr">
        <is>
          <t>sla_100_pct</t>
        </is>
      </c>
      <c r="G17" t="inlineStr">
        <is>
          <t>SLA cumplido en 100% del total</t>
        </is>
      </c>
      <c r="H17" t="inlineStr">
        <is>
          <t>number</t>
        </is>
      </c>
      <c r="I17" t="inlineStr">
        <is>
          <t>%</t>
        </is>
      </c>
      <c r="J17" t="inlineStr">
        <is>
          <t>Sí</t>
        </is>
      </c>
      <c r="K17" t="inlineStr">
        <is>
          <t>No</t>
        </is>
      </c>
      <c r="L17" t="n">
        <v>8</v>
      </c>
      <c r="M17" t="inlineStr"/>
      <c r="N17" t="inlineStr"/>
      <c r="O17" t="inlineStr">
        <is>
          <t>No</t>
        </is>
      </c>
      <c r="P17" t="inlineStr">
        <is>
          <t>Compras</t>
        </is>
      </c>
      <c r="Q17" t="inlineStr"/>
    </row>
    <row r="18">
      <c r="A18" t="inlineStr">
        <is>
          <t>compras.exceptuadas_ef_pct</t>
        </is>
      </c>
      <c r="B18" t="inlineStr">
        <is>
          <t>compras</t>
        </is>
      </c>
      <c r="C18" t="inlineStr">
        <is>
          <t>compras_mensual</t>
        </is>
      </c>
      <c r="D18" t="inlineStr">
        <is>
          <t>Compras</t>
        </is>
      </c>
      <c r="E18" t="inlineStr">
        <is>
          <t>compras</t>
        </is>
      </c>
      <c r="F18" t="inlineStr">
        <is>
          <t>exceptuadas_ef_pct</t>
        </is>
      </c>
      <c r="G18" t="inlineStr">
        <is>
          <t>EF acumulado %</t>
        </is>
      </c>
      <c r="H18" t="inlineStr">
        <is>
          <t>number</t>
        </is>
      </c>
      <c r="I18" t="inlineStr">
        <is>
          <t>%</t>
        </is>
      </c>
      <c r="J18" t="inlineStr">
        <is>
          <t>Sí</t>
        </is>
      </c>
      <c r="K18" t="inlineStr">
        <is>
          <t>No</t>
        </is>
      </c>
      <c r="L18" t="n">
        <v>9</v>
      </c>
      <c r="M18" t="inlineStr"/>
      <c r="N18" t="inlineStr"/>
      <c r="O18" t="inlineStr">
        <is>
          <t>No</t>
        </is>
      </c>
      <c r="P18" t="inlineStr">
        <is>
          <t>Compras</t>
        </is>
      </c>
      <c r="Q18" t="inlineStr"/>
    </row>
    <row r="19">
      <c r="A19" t="inlineStr">
        <is>
          <t>compras.valor_total_compras_usd</t>
        </is>
      </c>
      <c r="B19" t="inlineStr">
        <is>
          <t>compras</t>
        </is>
      </c>
      <c r="C19" t="inlineStr">
        <is>
          <t>compras_mensual</t>
        </is>
      </c>
      <c r="D19" t="inlineStr">
        <is>
          <t>Compras</t>
        </is>
      </c>
      <c r="E19" t="inlineStr">
        <is>
          <t>compras</t>
        </is>
      </c>
      <c r="F19" t="inlineStr">
        <is>
          <t>valor_total_compras_usd</t>
        </is>
      </c>
      <c r="G19" t="inlineStr">
        <is>
          <t>Valor total de compras</t>
        </is>
      </c>
      <c r="H19" t="inlineStr">
        <is>
          <t>number</t>
        </is>
      </c>
      <c r="I19" t="inlineStr">
        <is>
          <t>USD</t>
        </is>
      </c>
      <c r="J19" t="inlineStr">
        <is>
          <t>Sí</t>
        </is>
      </c>
      <c r="K19" t="inlineStr">
        <is>
          <t>No</t>
        </is>
      </c>
      <c r="L19" t="n">
        <v>10</v>
      </c>
      <c r="M19" t="inlineStr"/>
      <c r="N19" t="inlineStr"/>
      <c r="O19" t="inlineStr">
        <is>
          <t>No</t>
        </is>
      </c>
      <c r="P19" t="inlineStr">
        <is>
          <t>Compras</t>
        </is>
      </c>
      <c r="Q19" t="inlineStr"/>
    </row>
    <row r="20">
      <c r="A20" t="inlineStr">
        <is>
          <t>compras.observations</t>
        </is>
      </c>
      <c r="B20" t="inlineStr">
        <is>
          <t>compras</t>
        </is>
      </c>
      <c r="C20" t="inlineStr">
        <is>
          <t>compras_mensual</t>
        </is>
      </c>
      <c r="D20" t="inlineStr">
        <is>
          <t>Compras</t>
        </is>
      </c>
      <c r="E20" t="inlineStr">
        <is>
          <t>compras</t>
        </is>
      </c>
      <c r="F20" t="inlineStr">
        <is>
          <t>observations</t>
        </is>
      </c>
      <c r="G20" t="inlineStr">
        <is>
          <t>Observaciones del mes</t>
        </is>
      </c>
      <c r="H20" t="inlineStr">
        <is>
          <t>long_text</t>
        </is>
      </c>
      <c r="I20" t="inlineStr"/>
      <c r="J20" t="inlineStr">
        <is>
          <t>No</t>
        </is>
      </c>
      <c r="K20" t="inlineStr">
        <is>
          <t>No</t>
        </is>
      </c>
      <c r="L20" t="n">
        <v>11</v>
      </c>
      <c r="M20" t="inlineStr"/>
      <c r="N20" t="inlineStr"/>
      <c r="O20" t="inlineStr">
        <is>
          <t>No</t>
        </is>
      </c>
      <c r="P20" t="inlineStr">
        <is>
          <t>Compras</t>
        </is>
      </c>
      <c r="Q20" t="inlineStr"/>
    </row>
    <row r="21">
      <c r="A21" t="inlineStr">
        <is>
          <t>comunicacion_social.initiative</t>
        </is>
      </c>
      <c r="B21" t="inlineStr">
        <is>
          <t>comunicacion_social</t>
        </is>
      </c>
      <c r="C21" t="inlineStr">
        <is>
          <t>social_programas</t>
        </is>
      </c>
      <c r="D21" t="inlineStr">
        <is>
          <t>Programas sociales</t>
        </is>
      </c>
      <c r="E21" t="inlineStr">
        <is>
          <t>social_programas</t>
        </is>
      </c>
      <c r="F21" t="inlineStr">
        <is>
          <t>initiative</t>
        </is>
      </c>
      <c r="G21" t="inlineStr">
        <is>
          <t>Iniciativa</t>
        </is>
      </c>
      <c r="H21" t="inlineStr">
        <is>
          <t>text</t>
        </is>
      </c>
      <c r="I21" t="inlineStr"/>
      <c r="J21" t="inlineStr">
        <is>
          <t>Sí</t>
        </is>
      </c>
      <c r="K21" t="inlineStr">
        <is>
          <t>No</t>
        </is>
      </c>
      <c r="L21" t="n">
        <v>1</v>
      </c>
      <c r="M21" t="inlineStr"/>
      <c r="N21" t="inlineStr">
        <is>
          <t>social_programs</t>
        </is>
      </c>
      <c r="O21" t="inlineStr">
        <is>
          <t>Sí</t>
        </is>
      </c>
      <c r="P21" t="inlineStr">
        <is>
          <t>Comunicacion_y_Sust_Social</t>
        </is>
      </c>
      <c r="Q21" t="inlineStr"/>
    </row>
    <row r="22">
      <c r="A22" t="inlineStr">
        <is>
          <t>comunicacion_social.beneficiaries_n</t>
        </is>
      </c>
      <c r="B22" t="inlineStr">
        <is>
          <t>comunicacion_social</t>
        </is>
      </c>
      <c r="C22" t="inlineStr">
        <is>
          <t>social_programas</t>
        </is>
      </c>
      <c r="D22" t="inlineStr">
        <is>
          <t>Programas sociales</t>
        </is>
      </c>
      <c r="E22" t="inlineStr">
        <is>
          <t>social_programas</t>
        </is>
      </c>
      <c r="F22" t="inlineStr">
        <is>
          <t>beneficiaries_n</t>
        </is>
      </c>
      <c r="G22" t="inlineStr">
        <is>
          <t>Cantidad alcanzada o beneficiada</t>
        </is>
      </c>
      <c r="H22" t="inlineStr">
        <is>
          <t>number</t>
        </is>
      </c>
      <c r="I22" t="inlineStr">
        <is>
          <t>n</t>
        </is>
      </c>
      <c r="J22" t="inlineStr">
        <is>
          <t>Sí</t>
        </is>
      </c>
      <c r="K22" t="inlineStr">
        <is>
          <t>No</t>
        </is>
      </c>
      <c r="L22" t="n">
        <v>2</v>
      </c>
      <c r="M22" t="inlineStr"/>
      <c r="N22" t="inlineStr">
        <is>
          <t>social_programs</t>
        </is>
      </c>
      <c r="O22" t="inlineStr">
        <is>
          <t>Sí</t>
        </is>
      </c>
      <c r="P22" t="inlineStr">
        <is>
          <t>Comunicacion_y_Sust_Social</t>
        </is>
      </c>
      <c r="Q22" t="inlineStr"/>
    </row>
    <row r="23">
      <c r="A23" t="inlineStr">
        <is>
          <t>comunicacion_social.observations</t>
        </is>
      </c>
      <c r="B23" t="inlineStr">
        <is>
          <t>comunicacion_social</t>
        </is>
      </c>
      <c r="C23" t="inlineStr">
        <is>
          <t>social_programas</t>
        </is>
      </c>
      <c r="D23" t="inlineStr">
        <is>
          <t>Programas sociales</t>
        </is>
      </c>
      <c r="E23" t="inlineStr">
        <is>
          <t>social_programas</t>
        </is>
      </c>
      <c r="F23" t="inlineStr">
        <is>
          <t>observations</t>
        </is>
      </c>
      <c r="G23" t="inlineStr">
        <is>
          <t>Observaciones</t>
        </is>
      </c>
      <c r="H23" t="inlineStr">
        <is>
          <t>long_text</t>
        </is>
      </c>
      <c r="I23" t="inlineStr"/>
      <c r="J23" t="inlineStr">
        <is>
          <t>No</t>
        </is>
      </c>
      <c r="K23" t="inlineStr">
        <is>
          <t>No</t>
        </is>
      </c>
      <c r="L23" t="n">
        <v>3</v>
      </c>
      <c r="M23" t="inlineStr"/>
      <c r="N23" t="inlineStr">
        <is>
          <t>social_programs</t>
        </is>
      </c>
      <c r="O23" t="inlineStr">
        <is>
          <t>Sí</t>
        </is>
      </c>
      <c r="P23" t="inlineStr">
        <is>
          <t>Comunicacion_y_Sust_Social</t>
        </is>
      </c>
      <c r="Q23" t="inlineStr"/>
    </row>
    <row r="24">
      <c r="A24" t="inlineStr">
        <is>
          <t>comunicacion_social.quejas</t>
        </is>
      </c>
      <c r="B24" t="inlineStr">
        <is>
          <t>comunicacion_social</t>
        </is>
      </c>
      <c r="C24" t="inlineStr">
        <is>
          <t>social_qcs</t>
        </is>
      </c>
      <c r="D24" t="inlineStr">
        <is>
          <t>QCS</t>
        </is>
      </c>
      <c r="E24" t="inlineStr">
        <is>
          <t>social_qcs</t>
        </is>
      </c>
      <c r="F24" t="inlineStr">
        <is>
          <t>quejas</t>
        </is>
      </c>
      <c r="G24" t="inlineStr">
        <is>
          <t>Quejas</t>
        </is>
      </c>
      <c r="H24" t="inlineStr">
        <is>
          <t>number</t>
        </is>
      </c>
      <c r="I24" t="inlineStr">
        <is>
          <t>n</t>
        </is>
      </c>
      <c r="J24" t="inlineStr">
        <is>
          <t>Sí</t>
        </is>
      </c>
      <c r="K24" t="inlineStr">
        <is>
          <t>No</t>
        </is>
      </c>
      <c r="L24" t="n">
        <v>1</v>
      </c>
      <c r="M24" t="inlineStr"/>
      <c r="N24" t="inlineStr"/>
      <c r="O24" t="inlineStr">
        <is>
          <t>No</t>
        </is>
      </c>
      <c r="P24" t="inlineStr">
        <is>
          <t>Comunicacion_y_Sust_Social</t>
        </is>
      </c>
      <c r="Q24" t="inlineStr"/>
    </row>
    <row r="25">
      <c r="A25" t="inlineStr">
        <is>
          <t>comunicacion_social.consultas</t>
        </is>
      </c>
      <c r="B25" t="inlineStr">
        <is>
          <t>comunicacion_social</t>
        </is>
      </c>
      <c r="C25" t="inlineStr">
        <is>
          <t>social_qcs</t>
        </is>
      </c>
      <c r="D25" t="inlineStr">
        <is>
          <t>QCS</t>
        </is>
      </c>
      <c r="E25" t="inlineStr">
        <is>
          <t>social_qcs</t>
        </is>
      </c>
      <c r="F25" t="inlineStr">
        <is>
          <t>consultas</t>
        </is>
      </c>
      <c r="G25" t="inlineStr">
        <is>
          <t>Consultas</t>
        </is>
      </c>
      <c r="H25" t="inlineStr">
        <is>
          <t>number</t>
        </is>
      </c>
      <c r="I25" t="inlineStr">
        <is>
          <t>n</t>
        </is>
      </c>
      <c r="J25" t="inlineStr">
        <is>
          <t>Sí</t>
        </is>
      </c>
      <c r="K25" t="inlineStr">
        <is>
          <t>No</t>
        </is>
      </c>
      <c r="L25" t="n">
        <v>2</v>
      </c>
      <c r="M25" t="inlineStr"/>
      <c r="N25" t="inlineStr"/>
      <c r="O25" t="inlineStr">
        <is>
          <t>No</t>
        </is>
      </c>
      <c r="P25" t="inlineStr">
        <is>
          <t>Comunicacion_y_Sust_Social</t>
        </is>
      </c>
      <c r="Q25" t="inlineStr"/>
    </row>
    <row r="26">
      <c r="A26" t="inlineStr">
        <is>
          <t>comunicacion_social.sugerencias</t>
        </is>
      </c>
      <c r="B26" t="inlineStr">
        <is>
          <t>comunicacion_social</t>
        </is>
      </c>
      <c r="C26" t="inlineStr">
        <is>
          <t>social_qcs</t>
        </is>
      </c>
      <c r="D26" t="inlineStr">
        <is>
          <t>QCS</t>
        </is>
      </c>
      <c r="E26" t="inlineStr">
        <is>
          <t>social_qcs</t>
        </is>
      </c>
      <c r="F26" t="inlineStr">
        <is>
          <t>sugerencias</t>
        </is>
      </c>
      <c r="G26" t="inlineStr">
        <is>
          <t>Sugerencias</t>
        </is>
      </c>
      <c r="H26" t="inlineStr">
        <is>
          <t>number</t>
        </is>
      </c>
      <c r="I26" t="inlineStr">
        <is>
          <t>n</t>
        </is>
      </c>
      <c r="J26" t="inlineStr">
        <is>
          <t>Sí</t>
        </is>
      </c>
      <c r="K26" t="inlineStr">
        <is>
          <t>No</t>
        </is>
      </c>
      <c r="L26" t="n">
        <v>3</v>
      </c>
      <c r="M26" t="inlineStr"/>
      <c r="N26" t="inlineStr"/>
      <c r="O26" t="inlineStr">
        <is>
          <t>No</t>
        </is>
      </c>
      <c r="P26" t="inlineStr">
        <is>
          <t>Comunicacion_y_Sust_Social</t>
        </is>
      </c>
      <c r="Q26" t="inlineStr"/>
    </row>
    <row r="27">
      <c r="A27" t="inlineStr">
        <is>
          <t>comunicacion_social.contactos_total</t>
        </is>
      </c>
      <c r="B27" t="inlineStr">
        <is>
          <t>comunicacion_social</t>
        </is>
      </c>
      <c r="C27" t="inlineStr">
        <is>
          <t>social_qcs</t>
        </is>
      </c>
      <c r="D27" t="inlineStr">
        <is>
          <t>QCS</t>
        </is>
      </c>
      <c r="E27" t="inlineStr">
        <is>
          <t>social_qcs</t>
        </is>
      </c>
      <c r="F27" t="inlineStr">
        <is>
          <t>contactos_total</t>
        </is>
      </c>
      <c r="G27" t="inlineStr">
        <is>
          <t>Contactos totales</t>
        </is>
      </c>
      <c r="H27" t="inlineStr">
        <is>
          <t>number</t>
        </is>
      </c>
      <c r="I27" t="inlineStr">
        <is>
          <t>n</t>
        </is>
      </c>
      <c r="J27" t="inlineStr">
        <is>
          <t>No</t>
        </is>
      </c>
      <c r="K27" t="inlineStr">
        <is>
          <t>No</t>
        </is>
      </c>
      <c r="L27" t="n">
        <v>4</v>
      </c>
      <c r="M27" t="inlineStr"/>
      <c r="N27" t="inlineStr"/>
      <c r="O27" t="inlineStr">
        <is>
          <t>No</t>
        </is>
      </c>
      <c r="P27" t="inlineStr">
        <is>
          <t>Comunicacion_y_Sust_Social</t>
        </is>
      </c>
      <c r="Q27" t="inlineStr"/>
    </row>
    <row r="28">
      <c r="A28" t="inlineStr">
        <is>
          <t>comunicacion_social.observations</t>
        </is>
      </c>
      <c r="B28" t="inlineStr">
        <is>
          <t>comunicacion_social</t>
        </is>
      </c>
      <c r="C28" t="inlineStr">
        <is>
          <t>social_qcs</t>
        </is>
      </c>
      <c r="D28" t="inlineStr">
        <is>
          <t>QCS</t>
        </is>
      </c>
      <c r="E28" t="inlineStr">
        <is>
          <t>social_qcs</t>
        </is>
      </c>
      <c r="F28" t="inlineStr">
        <is>
          <t>observations</t>
        </is>
      </c>
      <c r="G28" t="inlineStr">
        <is>
          <t>Observaciones</t>
        </is>
      </c>
      <c r="H28" t="inlineStr">
        <is>
          <t>long_text</t>
        </is>
      </c>
      <c r="I28" t="inlineStr"/>
      <c r="J28" t="inlineStr">
        <is>
          <t>No</t>
        </is>
      </c>
      <c r="K28" t="inlineStr">
        <is>
          <t>No</t>
        </is>
      </c>
      <c r="L28" t="n">
        <v>5</v>
      </c>
      <c r="M28" t="inlineStr"/>
      <c r="N28" t="inlineStr"/>
      <c r="O28" t="inlineStr">
        <is>
          <t>No</t>
        </is>
      </c>
      <c r="P28" t="inlineStr">
        <is>
          <t>Comunicacion_y_Sust_Social</t>
        </is>
      </c>
      <c r="Q28" t="inlineStr"/>
    </row>
    <row r="29">
      <c r="A29" t="inlineStr">
        <is>
          <t>comunicacion_social.instagram</t>
        </is>
      </c>
      <c r="B29" t="inlineStr">
        <is>
          <t>comunicacion_social</t>
        </is>
      </c>
      <c r="C29" t="inlineStr">
        <is>
          <t>social_redes</t>
        </is>
      </c>
      <c r="D29" t="inlineStr">
        <is>
          <t>Redes sociales</t>
        </is>
      </c>
      <c r="E29" t="inlineStr">
        <is>
          <t>social_redes</t>
        </is>
      </c>
      <c r="F29" t="inlineStr">
        <is>
          <t>instagram</t>
        </is>
      </c>
      <c r="G29" t="inlineStr">
        <is>
          <t>Instagram</t>
        </is>
      </c>
      <c r="H29" t="inlineStr">
        <is>
          <t>number</t>
        </is>
      </c>
      <c r="I29" t="inlineStr">
        <is>
          <t>seguidores</t>
        </is>
      </c>
      <c r="J29" t="inlineStr">
        <is>
          <t>Sí</t>
        </is>
      </c>
      <c r="K29" t="inlineStr">
        <is>
          <t>No</t>
        </is>
      </c>
      <c r="L29" t="n">
        <v>1</v>
      </c>
      <c r="M29" t="inlineStr"/>
      <c r="N29" t="inlineStr"/>
      <c r="O29" t="inlineStr">
        <is>
          <t>No</t>
        </is>
      </c>
      <c r="P29" t="inlineStr">
        <is>
          <t>Comunicacion_y_Sust_Social</t>
        </is>
      </c>
      <c r="Q29" t="inlineStr"/>
    </row>
    <row r="30">
      <c r="A30" t="inlineStr">
        <is>
          <t>comunicacion_social.facebook</t>
        </is>
      </c>
      <c r="B30" t="inlineStr">
        <is>
          <t>comunicacion_social</t>
        </is>
      </c>
      <c r="C30" t="inlineStr">
        <is>
          <t>social_redes</t>
        </is>
      </c>
      <c r="D30" t="inlineStr">
        <is>
          <t>Redes sociales</t>
        </is>
      </c>
      <c r="E30" t="inlineStr">
        <is>
          <t>social_redes</t>
        </is>
      </c>
      <c r="F30" t="inlineStr">
        <is>
          <t>facebook</t>
        </is>
      </c>
      <c r="G30" t="inlineStr">
        <is>
          <t>Facebook</t>
        </is>
      </c>
      <c r="H30" t="inlineStr">
        <is>
          <t>number</t>
        </is>
      </c>
      <c r="I30" t="inlineStr">
        <is>
          <t>seguidores</t>
        </is>
      </c>
      <c r="J30" t="inlineStr">
        <is>
          <t>Sí</t>
        </is>
      </c>
      <c r="K30" t="inlineStr">
        <is>
          <t>No</t>
        </is>
      </c>
      <c r="L30" t="n">
        <v>2</v>
      </c>
      <c r="M30" t="inlineStr"/>
      <c r="N30" t="inlineStr"/>
      <c r="O30" t="inlineStr">
        <is>
          <t>No</t>
        </is>
      </c>
      <c r="P30" t="inlineStr">
        <is>
          <t>Comunicacion_y_Sust_Social</t>
        </is>
      </c>
      <c r="Q30" t="inlineStr"/>
    </row>
    <row r="31">
      <c r="A31" t="inlineStr">
        <is>
          <t>comunicacion_social.linkedin</t>
        </is>
      </c>
      <c r="B31" t="inlineStr">
        <is>
          <t>comunicacion_social</t>
        </is>
      </c>
      <c r="C31" t="inlineStr">
        <is>
          <t>social_redes</t>
        </is>
      </c>
      <c r="D31" t="inlineStr">
        <is>
          <t>Redes sociales</t>
        </is>
      </c>
      <c r="E31" t="inlineStr">
        <is>
          <t>social_redes</t>
        </is>
      </c>
      <c r="F31" t="inlineStr">
        <is>
          <t>linkedin</t>
        </is>
      </c>
      <c r="G31" t="inlineStr">
        <is>
          <t>LinkedIn</t>
        </is>
      </c>
      <c r="H31" t="inlineStr">
        <is>
          <t>number</t>
        </is>
      </c>
      <c r="I31" t="inlineStr">
        <is>
          <t>seguidores</t>
        </is>
      </c>
      <c r="J31" t="inlineStr">
        <is>
          <t>Sí</t>
        </is>
      </c>
      <c r="K31" t="inlineStr">
        <is>
          <t>No</t>
        </is>
      </c>
      <c r="L31" t="n">
        <v>3</v>
      </c>
      <c r="M31" t="inlineStr"/>
      <c r="N31" t="inlineStr"/>
      <c r="O31" t="inlineStr">
        <is>
          <t>No</t>
        </is>
      </c>
      <c r="P31" t="inlineStr">
        <is>
          <t>Comunicacion_y_Sust_Social</t>
        </is>
      </c>
      <c r="Q31" t="inlineStr"/>
    </row>
    <row r="32">
      <c r="A32" t="inlineStr">
        <is>
          <t>comunicacion_social.x_twitter</t>
        </is>
      </c>
      <c r="B32" t="inlineStr">
        <is>
          <t>comunicacion_social</t>
        </is>
      </c>
      <c r="C32" t="inlineStr">
        <is>
          <t>social_redes</t>
        </is>
      </c>
      <c r="D32" t="inlineStr">
        <is>
          <t>Redes sociales</t>
        </is>
      </c>
      <c r="E32" t="inlineStr">
        <is>
          <t>social_redes</t>
        </is>
      </c>
      <c r="F32" t="inlineStr">
        <is>
          <t>x_twitter</t>
        </is>
      </c>
      <c r="G32" t="inlineStr">
        <is>
          <t>X/Twitter</t>
        </is>
      </c>
      <c r="H32" t="inlineStr">
        <is>
          <t>number</t>
        </is>
      </c>
      <c r="I32" t="inlineStr">
        <is>
          <t>seguidores</t>
        </is>
      </c>
      <c r="J32" t="inlineStr">
        <is>
          <t>No</t>
        </is>
      </c>
      <c r="K32" t="inlineStr">
        <is>
          <t>No</t>
        </is>
      </c>
      <c r="L32" t="n">
        <v>4</v>
      </c>
      <c r="M32" t="inlineStr"/>
      <c r="N32" t="inlineStr"/>
      <c r="O32" t="inlineStr">
        <is>
          <t>No</t>
        </is>
      </c>
      <c r="P32" t="inlineStr">
        <is>
          <t>Comunicacion_y_Sust_Social</t>
        </is>
      </c>
      <c r="Q32" t="inlineStr"/>
    </row>
    <row r="33">
      <c r="A33" t="inlineStr">
        <is>
          <t>comunicacion_social.total_followers</t>
        </is>
      </c>
      <c r="B33" t="inlineStr">
        <is>
          <t>comunicacion_social</t>
        </is>
      </c>
      <c r="C33" t="inlineStr">
        <is>
          <t>social_redes</t>
        </is>
      </c>
      <c r="D33" t="inlineStr">
        <is>
          <t>Redes sociales</t>
        </is>
      </c>
      <c r="E33" t="inlineStr">
        <is>
          <t>social_redes</t>
        </is>
      </c>
      <c r="F33" t="inlineStr">
        <is>
          <t>total_followers</t>
        </is>
      </c>
      <c r="G33" t="inlineStr">
        <is>
          <t>Seguidores totales</t>
        </is>
      </c>
      <c r="H33" t="inlineStr">
        <is>
          <t>number</t>
        </is>
      </c>
      <c r="I33" t="inlineStr">
        <is>
          <t>seguidores</t>
        </is>
      </c>
      <c r="J33" t="inlineStr">
        <is>
          <t>No</t>
        </is>
      </c>
      <c r="K33" t="inlineStr">
        <is>
          <t>No</t>
        </is>
      </c>
      <c r="L33" t="n">
        <v>5</v>
      </c>
      <c r="M33" t="inlineStr"/>
      <c r="N33" t="inlineStr"/>
      <c r="O33" t="inlineStr">
        <is>
          <t>No</t>
        </is>
      </c>
      <c r="P33" t="inlineStr">
        <is>
          <t>Comunicacion_y_Sust_Social</t>
        </is>
      </c>
      <c r="Q33" t="inlineStr"/>
    </row>
    <row r="34">
      <c r="A34" t="inlineStr">
        <is>
          <t>comunicacion_social.observations</t>
        </is>
      </c>
      <c r="B34" t="inlineStr">
        <is>
          <t>comunicacion_social</t>
        </is>
      </c>
      <c r="C34" t="inlineStr">
        <is>
          <t>social_redes</t>
        </is>
      </c>
      <c r="D34" t="inlineStr">
        <is>
          <t>Redes sociales</t>
        </is>
      </c>
      <c r="E34" t="inlineStr">
        <is>
          <t>social_redes</t>
        </is>
      </c>
      <c r="F34" t="inlineStr">
        <is>
          <t>observations</t>
        </is>
      </c>
      <c r="G34" t="inlineStr">
        <is>
          <t>Observaciones</t>
        </is>
      </c>
      <c r="H34" t="inlineStr">
        <is>
          <t>long_text</t>
        </is>
      </c>
      <c r="I34" t="inlineStr"/>
      <c r="J34" t="inlineStr">
        <is>
          <t>No</t>
        </is>
      </c>
      <c r="K34" t="inlineStr">
        <is>
          <t>No</t>
        </is>
      </c>
      <c r="L34" t="n">
        <v>6</v>
      </c>
      <c r="M34" t="inlineStr"/>
      <c r="N34" t="inlineStr"/>
      <c r="O34" t="inlineStr">
        <is>
          <t>No</t>
        </is>
      </c>
      <c r="P34" t="inlineStr">
        <is>
          <t>Comunicacion_y_Sust_Social</t>
        </is>
      </c>
      <c r="Q34" t="inlineStr"/>
    </row>
    <row r="35">
      <c r="A35" t="inlineStr">
        <is>
          <t>comunicacion_social.canales_prioritarios</t>
        </is>
      </c>
      <c r="B35" t="inlineStr">
        <is>
          <t>comunicacion_social</t>
        </is>
      </c>
      <c r="C35" t="inlineStr">
        <is>
          <t>comunicacion_mensual</t>
        </is>
      </c>
      <c r="D35" t="inlineStr">
        <is>
          <t>Redes sociales</t>
        </is>
      </c>
      <c r="E35" t="inlineStr">
        <is>
          <t>social_redes</t>
        </is>
      </c>
      <c r="F35" t="inlineStr">
        <is>
          <t>canales_prioritarios</t>
        </is>
      </c>
      <c r="G35" t="inlineStr">
        <is>
          <t>Canales digitales prioritarios del mes</t>
        </is>
      </c>
      <c r="H35" t="inlineStr">
        <is>
          <t>multiselect</t>
        </is>
      </c>
      <c r="I35" t="inlineStr"/>
      <c r="J35" t="inlineStr">
        <is>
          <t>No</t>
        </is>
      </c>
      <c r="K35" t="inlineStr">
        <is>
          <t>No</t>
        </is>
      </c>
      <c r="L35" t="n">
        <v>999</v>
      </c>
      <c r="M35" t="inlineStr"/>
      <c r="N35" t="inlineStr">
        <is>
          <t>canales_digitales</t>
        </is>
      </c>
      <c r="O35" t="inlineStr">
        <is>
          <t>Sí</t>
        </is>
      </c>
      <c r="P35" t="inlineStr">
        <is>
          <t>Comunicacion_y_Sust_Social</t>
        </is>
      </c>
      <c r="Q35" t="inlineStr">
        <is>
          <t>Ejemplo de selección múltiple con lista editable por el usuario.</t>
        </is>
      </c>
    </row>
    <row r="36">
      <c r="A36" t="inlineStr">
        <is>
          <t>comunicacion_social.visitas_totales</t>
        </is>
      </c>
      <c r="B36" t="inlineStr">
        <is>
          <t>comunicacion_social</t>
        </is>
      </c>
      <c r="C36" t="inlineStr">
        <is>
          <t>social_web</t>
        </is>
      </c>
      <c r="D36" t="inlineStr">
        <is>
          <t>Sitio web</t>
        </is>
      </c>
      <c r="E36" t="inlineStr">
        <is>
          <t>social_web</t>
        </is>
      </c>
      <c r="F36" t="inlineStr">
        <is>
          <t>visitas_totales</t>
        </is>
      </c>
      <c r="G36" t="inlineStr">
        <is>
          <t>Visitas totales web</t>
        </is>
      </c>
      <c r="H36" t="inlineStr">
        <is>
          <t>number</t>
        </is>
      </c>
      <c r="I36" t="inlineStr">
        <is>
          <t>visitas</t>
        </is>
      </c>
      <c r="J36" t="inlineStr">
        <is>
          <t>Sí</t>
        </is>
      </c>
      <c r="K36" t="inlineStr">
        <is>
          <t>No</t>
        </is>
      </c>
      <c r="L36" t="n">
        <v>1</v>
      </c>
      <c r="M36" t="inlineStr"/>
      <c r="N36" t="inlineStr"/>
      <c r="O36" t="inlineStr">
        <is>
          <t>No</t>
        </is>
      </c>
      <c r="P36" t="inlineStr">
        <is>
          <t>Comunicacion_y_Sust_Social</t>
        </is>
      </c>
      <c r="Q36" t="inlineStr"/>
    </row>
    <row r="37">
      <c r="A37" t="inlineStr">
        <is>
          <t>comunicacion_social.visitas_unicas</t>
        </is>
      </c>
      <c r="B37" t="inlineStr">
        <is>
          <t>comunicacion_social</t>
        </is>
      </c>
      <c r="C37" t="inlineStr">
        <is>
          <t>social_web</t>
        </is>
      </c>
      <c r="D37" t="inlineStr">
        <is>
          <t>Sitio web</t>
        </is>
      </c>
      <c r="E37" t="inlineStr">
        <is>
          <t>social_web</t>
        </is>
      </c>
      <c r="F37" t="inlineStr">
        <is>
          <t>visitas_unicas</t>
        </is>
      </c>
      <c r="G37" t="inlineStr">
        <is>
          <t>Visitas únicas web</t>
        </is>
      </c>
      <c r="H37" t="inlineStr">
        <is>
          <t>number</t>
        </is>
      </c>
      <c r="I37" t="inlineStr">
        <is>
          <t>visitas</t>
        </is>
      </c>
      <c r="J37" t="inlineStr">
        <is>
          <t>Sí</t>
        </is>
      </c>
      <c r="K37" t="inlineStr">
        <is>
          <t>No</t>
        </is>
      </c>
      <c r="L37" t="n">
        <v>2</v>
      </c>
      <c r="M37" t="inlineStr"/>
      <c r="N37" t="inlineStr"/>
      <c r="O37" t="inlineStr">
        <is>
          <t>No</t>
        </is>
      </c>
      <c r="P37" t="inlineStr">
        <is>
          <t>Comunicacion_y_Sust_Social</t>
        </is>
      </c>
      <c r="Q37" t="inlineStr"/>
    </row>
    <row r="38">
      <c r="A38" t="inlineStr">
        <is>
          <t>comunicacion_social.observations</t>
        </is>
      </c>
      <c r="B38" t="inlineStr">
        <is>
          <t>comunicacion_social</t>
        </is>
      </c>
      <c r="C38" t="inlineStr">
        <is>
          <t>social_web</t>
        </is>
      </c>
      <c r="D38" t="inlineStr">
        <is>
          <t>Sitio web</t>
        </is>
      </c>
      <c r="E38" t="inlineStr">
        <is>
          <t>social_web</t>
        </is>
      </c>
      <c r="F38" t="inlineStr">
        <is>
          <t>observations</t>
        </is>
      </c>
      <c r="G38" t="inlineStr">
        <is>
          <t>Observaciones</t>
        </is>
      </c>
      <c r="H38" t="inlineStr">
        <is>
          <t>long_text</t>
        </is>
      </c>
      <c r="I38" t="inlineStr"/>
      <c r="J38" t="inlineStr">
        <is>
          <t>No</t>
        </is>
      </c>
      <c r="K38" t="inlineStr">
        <is>
          <t>No</t>
        </is>
      </c>
      <c r="L38" t="n">
        <v>3</v>
      </c>
      <c r="M38" t="inlineStr"/>
      <c r="N38" t="inlineStr"/>
      <c r="O38" t="inlineStr">
        <is>
          <t>No</t>
        </is>
      </c>
      <c r="P38" t="inlineStr">
        <is>
          <t>Comunicacion_y_Sust_Social</t>
        </is>
      </c>
      <c r="Q38" t="inlineStr"/>
    </row>
    <row r="39">
      <c r="A39" t="inlineStr">
        <is>
          <t>finanzas.opex_capex_b26_ytd</t>
        </is>
      </c>
      <c r="B39" t="inlineStr">
        <is>
          <t>finanzas</t>
        </is>
      </c>
      <c r="C39" t="inlineStr">
        <is>
          <t>fin_presupuesto</t>
        </is>
      </c>
      <c r="D39" t="inlineStr">
        <is>
          <t>Ejecución presupuestaria</t>
        </is>
      </c>
      <c r="E39" t="inlineStr">
        <is>
          <t>fin_presupuesto</t>
        </is>
      </c>
      <c r="F39" t="inlineStr">
        <is>
          <t>opex_capex_b26_ytd</t>
        </is>
      </c>
      <c r="G39" t="inlineStr">
        <is>
          <t>OPEX + CAPEX B26 YTD</t>
        </is>
      </c>
      <c r="H39" t="inlineStr">
        <is>
          <t>number</t>
        </is>
      </c>
      <c r="I39" t="inlineStr">
        <is>
          <t>USD</t>
        </is>
      </c>
      <c r="J39" t="inlineStr">
        <is>
          <t>Sí</t>
        </is>
      </c>
      <c r="K39" t="inlineStr">
        <is>
          <t>No</t>
        </is>
      </c>
      <c r="L39" t="n">
        <v>1</v>
      </c>
      <c r="M39" t="inlineStr"/>
      <c r="N39" t="inlineStr"/>
      <c r="O39" t="inlineStr">
        <is>
          <t>No</t>
        </is>
      </c>
      <c r="P39" t="inlineStr">
        <is>
          <t>Finanzas</t>
        </is>
      </c>
      <c r="Q39" t="inlineStr"/>
    </row>
    <row r="40">
      <c r="A40" t="inlineStr">
        <is>
          <t>finanzas.opex_capex_a26_ytd</t>
        </is>
      </c>
      <c r="B40" t="inlineStr">
        <is>
          <t>finanzas</t>
        </is>
      </c>
      <c r="C40" t="inlineStr">
        <is>
          <t>fin_presupuesto</t>
        </is>
      </c>
      <c r="D40" t="inlineStr">
        <is>
          <t>Ejecución presupuestaria</t>
        </is>
      </c>
      <c r="E40" t="inlineStr">
        <is>
          <t>fin_presupuesto</t>
        </is>
      </c>
      <c r="F40" t="inlineStr">
        <is>
          <t>opex_capex_a26_ytd</t>
        </is>
      </c>
      <c r="G40" t="inlineStr">
        <is>
          <t>OPEX + CAPEX A26+ YTD</t>
        </is>
      </c>
      <c r="H40" t="inlineStr">
        <is>
          <t>number</t>
        </is>
      </c>
      <c r="I40" t="inlineStr">
        <is>
          <t>USD</t>
        </is>
      </c>
      <c r="J40" t="inlineStr">
        <is>
          <t>Sí</t>
        </is>
      </c>
      <c r="K40" t="inlineStr">
        <is>
          <t>No</t>
        </is>
      </c>
      <c r="L40" t="n">
        <v>2</v>
      </c>
      <c r="M40" t="inlineStr"/>
      <c r="N40" t="inlineStr"/>
      <c r="O40" t="inlineStr">
        <is>
          <t>No</t>
        </is>
      </c>
      <c r="P40" t="inlineStr">
        <is>
          <t>Finanzas</t>
        </is>
      </c>
      <c r="Q40" t="inlineStr"/>
    </row>
    <row r="41">
      <c r="A41" t="inlineStr">
        <is>
          <t>finanzas.opex_capex_var_usd_ytd</t>
        </is>
      </c>
      <c r="B41" t="inlineStr">
        <is>
          <t>finanzas</t>
        </is>
      </c>
      <c r="C41" t="inlineStr">
        <is>
          <t>fin_presupuesto</t>
        </is>
      </c>
      <c r="D41" t="inlineStr">
        <is>
          <t>Ejecución presupuestaria</t>
        </is>
      </c>
      <c r="E41" t="inlineStr">
        <is>
          <t>fin_presupuesto</t>
        </is>
      </c>
      <c r="F41" t="inlineStr">
        <is>
          <t>opex_capex_var_usd_ytd</t>
        </is>
      </c>
      <c r="G41" t="inlineStr">
        <is>
          <t>Variación USD YTD</t>
        </is>
      </c>
      <c r="H41" t="inlineStr">
        <is>
          <t>number</t>
        </is>
      </c>
      <c r="I41" t="inlineStr">
        <is>
          <t>USD</t>
        </is>
      </c>
      <c r="J41" t="inlineStr">
        <is>
          <t>Sí</t>
        </is>
      </c>
      <c r="K41" t="inlineStr">
        <is>
          <t>No</t>
        </is>
      </c>
      <c r="L41" t="n">
        <v>3</v>
      </c>
      <c r="M41" t="inlineStr"/>
      <c r="N41" t="inlineStr"/>
      <c r="O41" t="inlineStr">
        <is>
          <t>No</t>
        </is>
      </c>
      <c r="P41" t="inlineStr">
        <is>
          <t>Finanzas</t>
        </is>
      </c>
      <c r="Q41" t="inlineStr"/>
    </row>
    <row r="42">
      <c r="A42" t="inlineStr">
        <is>
          <t>finanzas.opex_capex_var_pct_ytd</t>
        </is>
      </c>
      <c r="B42" t="inlineStr">
        <is>
          <t>finanzas</t>
        </is>
      </c>
      <c r="C42" t="inlineStr">
        <is>
          <t>fin_presupuesto</t>
        </is>
      </c>
      <c r="D42" t="inlineStr">
        <is>
          <t>Ejecución presupuestaria</t>
        </is>
      </c>
      <c r="E42" t="inlineStr">
        <is>
          <t>fin_presupuesto</t>
        </is>
      </c>
      <c r="F42" t="inlineStr">
        <is>
          <t>opex_capex_var_pct_ytd</t>
        </is>
      </c>
      <c r="G42" t="inlineStr">
        <is>
          <t>Variación % YTD</t>
        </is>
      </c>
      <c r="H42" t="inlineStr">
        <is>
          <t>number</t>
        </is>
      </c>
      <c r="I42" t="inlineStr">
        <is>
          <t>%</t>
        </is>
      </c>
      <c r="J42" t="inlineStr">
        <is>
          <t>Sí</t>
        </is>
      </c>
      <c r="K42" t="inlineStr">
        <is>
          <t>No</t>
        </is>
      </c>
      <c r="L42" t="n">
        <v>4</v>
      </c>
      <c r="M42" t="inlineStr"/>
      <c r="N42" t="inlineStr"/>
      <c r="O42" t="inlineStr">
        <is>
          <t>No</t>
        </is>
      </c>
      <c r="P42" t="inlineStr">
        <is>
          <t>Finanzas</t>
        </is>
      </c>
      <c r="Q42" t="inlineStr"/>
    </row>
    <row r="43">
      <c r="A43" t="inlineStr">
        <is>
          <t>finanzas.land_state</t>
        </is>
      </c>
      <c r="B43" t="inlineStr">
        <is>
          <t>finanzas</t>
        </is>
      </c>
      <c r="C43" t="inlineStr">
        <is>
          <t>fin_tierras</t>
        </is>
      </c>
      <c r="D43" t="inlineStr">
        <is>
          <t>Tierras</t>
        </is>
      </c>
      <c r="E43" t="inlineStr">
        <is>
          <t>fin_tierras</t>
        </is>
      </c>
      <c r="F43" t="inlineStr">
        <is>
          <t>land_state</t>
        </is>
      </c>
      <c r="G43" t="inlineStr">
        <is>
          <t>Estado del expediente</t>
        </is>
      </c>
      <c r="H43" t="inlineStr">
        <is>
          <t>text</t>
        </is>
      </c>
      <c r="I43" t="inlineStr"/>
      <c r="J43" t="inlineStr">
        <is>
          <t>Sí</t>
        </is>
      </c>
      <c r="K43" t="inlineStr">
        <is>
          <t>No</t>
        </is>
      </c>
      <c r="L43" t="n">
        <v>1</v>
      </c>
      <c r="M43" t="inlineStr">
        <is>
          <t>Finalizado|En proceso|En revisión</t>
        </is>
      </c>
      <c r="N43" t="inlineStr">
        <is>
          <t>land_states</t>
        </is>
      </c>
      <c r="O43" t="inlineStr">
        <is>
          <t>Sí</t>
        </is>
      </c>
      <c r="P43" t="inlineStr">
        <is>
          <t>Finanzas</t>
        </is>
      </c>
      <c r="Q43" t="inlineStr"/>
    </row>
    <row r="44">
      <c r="A44" t="inlineStr">
        <is>
          <t>finanzas.land_observation</t>
        </is>
      </c>
      <c r="B44" t="inlineStr">
        <is>
          <t>finanzas</t>
        </is>
      </c>
      <c r="C44" t="inlineStr">
        <is>
          <t>fin_tierras</t>
        </is>
      </c>
      <c r="D44" t="inlineStr">
        <is>
          <t>Tierras</t>
        </is>
      </c>
      <c r="E44" t="inlineStr">
        <is>
          <t>fin_tierras</t>
        </is>
      </c>
      <c r="F44" t="inlineStr">
        <is>
          <t>land_observation</t>
        </is>
      </c>
      <c r="G44" t="inlineStr">
        <is>
          <t>Observación</t>
        </is>
      </c>
      <c r="H44" t="inlineStr">
        <is>
          <t>long_text</t>
        </is>
      </c>
      <c r="I44" t="inlineStr"/>
      <c r="J44" t="inlineStr">
        <is>
          <t>Sí</t>
        </is>
      </c>
      <c r="K44" t="inlineStr">
        <is>
          <t>Sí</t>
        </is>
      </c>
      <c r="L44" t="n">
        <v>2</v>
      </c>
      <c r="M44" t="inlineStr"/>
      <c r="N44" t="inlineStr">
        <is>
          <t>land_states</t>
        </is>
      </c>
      <c r="O44" t="inlineStr">
        <is>
          <t>Sí</t>
        </is>
      </c>
      <c r="P44" t="inlineStr">
        <is>
          <t>Finanzas</t>
        </is>
      </c>
      <c r="Q44" t="inlineStr"/>
    </row>
    <row r="45">
      <c r="A45" t="inlineStr">
        <is>
          <t>finanzas.land_area_ha</t>
        </is>
      </c>
      <c r="B45" t="inlineStr">
        <is>
          <t>finanzas</t>
        </is>
      </c>
      <c r="C45" t="inlineStr">
        <is>
          <t>fin_tierras</t>
        </is>
      </c>
      <c r="D45" t="inlineStr">
        <is>
          <t>Tierras</t>
        </is>
      </c>
      <c r="E45" t="inlineStr">
        <is>
          <t>fin_tierras</t>
        </is>
      </c>
      <c r="F45" t="inlineStr">
        <is>
          <t>land_area_ha</t>
        </is>
      </c>
      <c r="G45" t="inlineStr">
        <is>
          <t>Área</t>
        </is>
      </c>
      <c r="H45" t="inlineStr">
        <is>
          <t>number</t>
        </is>
      </c>
      <c r="I45" t="inlineStr">
        <is>
          <t>ha</t>
        </is>
      </c>
      <c r="J45" t="inlineStr">
        <is>
          <t>Sí</t>
        </is>
      </c>
      <c r="K45" t="inlineStr">
        <is>
          <t>No</t>
        </is>
      </c>
      <c r="L45" t="n">
        <v>3</v>
      </c>
      <c r="M45" t="inlineStr"/>
      <c r="N45" t="inlineStr">
        <is>
          <t>land_states</t>
        </is>
      </c>
      <c r="O45" t="inlineStr">
        <is>
          <t>Sí</t>
        </is>
      </c>
      <c r="P45" t="inlineStr">
        <is>
          <t>Finanzas</t>
        </is>
      </c>
      <c r="Q45" t="inlineStr"/>
    </row>
    <row r="46">
      <c r="A46" t="inlineStr">
        <is>
          <t>finanzas.land_value_usd</t>
        </is>
      </c>
      <c r="B46" t="inlineStr">
        <is>
          <t>finanzas</t>
        </is>
      </c>
      <c r="C46" t="inlineStr">
        <is>
          <t>fin_tierras</t>
        </is>
      </c>
      <c r="D46" t="inlineStr">
        <is>
          <t>Tierras</t>
        </is>
      </c>
      <c r="E46" t="inlineStr">
        <is>
          <t>fin_tierras</t>
        </is>
      </c>
      <c r="F46" t="inlineStr">
        <is>
          <t>land_value_usd</t>
        </is>
      </c>
      <c r="G46" t="inlineStr">
        <is>
          <t>Valor estimado</t>
        </is>
      </c>
      <c r="H46" t="inlineStr">
        <is>
          <t>number</t>
        </is>
      </c>
      <c r="I46" t="inlineStr">
        <is>
          <t>USD</t>
        </is>
      </c>
      <c r="J46" t="inlineStr">
        <is>
          <t>No</t>
        </is>
      </c>
      <c r="K46" t="inlineStr">
        <is>
          <t>No</t>
        </is>
      </c>
      <c r="L46" t="n">
        <v>4</v>
      </c>
      <c r="M46" t="inlineStr"/>
      <c r="N46" t="inlineStr">
        <is>
          <t>land_states</t>
        </is>
      </c>
      <c r="O46" t="inlineStr">
        <is>
          <t>Sí</t>
        </is>
      </c>
      <c r="P46" t="inlineStr">
        <is>
          <t>Finanzas</t>
        </is>
      </c>
      <c r="Q46" t="inlineStr"/>
    </row>
    <row r="47">
      <c r="A47" t="inlineStr">
        <is>
          <t>forestal_fomento.contratos_ha</t>
        </is>
      </c>
      <c r="B47" t="inlineStr">
        <is>
          <t>forestal_fomento</t>
        </is>
      </c>
      <c r="C47" t="inlineStr">
        <is>
          <t>forestal_fomento_mensual</t>
        </is>
      </c>
      <c r="D47" t="inlineStr">
        <is>
          <t>D. Fomento – Contratos y Ejecución</t>
        </is>
      </c>
      <c r="E47" t="inlineStr">
        <is>
          <t>fomento_proveedores</t>
        </is>
      </c>
      <c r="F47" t="inlineStr">
        <is>
          <t>contratos_ha</t>
        </is>
      </c>
      <c r="G47" t="inlineStr">
        <is>
          <t>Contratos (ha)</t>
        </is>
      </c>
      <c r="H47" t="inlineStr">
        <is>
          <t>number</t>
        </is>
      </c>
      <c r="I47" t="inlineStr">
        <is>
          <t>ha</t>
        </is>
      </c>
      <c r="J47" t="inlineStr">
        <is>
          <t>Sí</t>
        </is>
      </c>
      <c r="K47" t="inlineStr">
        <is>
          <t>No</t>
        </is>
      </c>
      <c r="L47" t="n">
        <v>1</v>
      </c>
      <c r="M47" t="inlineStr"/>
      <c r="N47" t="inlineStr">
        <is>
          <t>fomento_proveedores</t>
        </is>
      </c>
      <c r="O47" t="inlineStr">
        <is>
          <t>Sí</t>
        </is>
      </c>
      <c r="P47" t="inlineStr">
        <is>
          <t>Forestal_Propias&amp;Fomento</t>
        </is>
      </c>
      <c r="Q47" t="inlineStr">
        <is>
          <t>Fila editable por proveedor. El usuario del área puede agregar, quitar o editar proveedores.</t>
        </is>
      </c>
    </row>
    <row r="48">
      <c r="A48" t="inlineStr">
        <is>
          <t>forestal_fomento.plantadas_ha</t>
        </is>
      </c>
      <c r="B48" t="inlineStr">
        <is>
          <t>forestal_fomento</t>
        </is>
      </c>
      <c r="C48" t="inlineStr">
        <is>
          <t>forestal_fomento_mensual</t>
        </is>
      </c>
      <c r="D48" t="inlineStr">
        <is>
          <t>D. Fomento – Contratos y Ejecución</t>
        </is>
      </c>
      <c r="E48" t="inlineStr">
        <is>
          <t>fomento_proveedores</t>
        </is>
      </c>
      <c r="F48" t="inlineStr">
        <is>
          <t>plantadas_ha</t>
        </is>
      </c>
      <c r="G48" t="inlineStr">
        <is>
          <t>Plantadas (ha)</t>
        </is>
      </c>
      <c r="H48" t="inlineStr">
        <is>
          <t>number</t>
        </is>
      </c>
      <c r="I48" t="inlineStr">
        <is>
          <t>ha</t>
        </is>
      </c>
      <c r="J48" t="inlineStr">
        <is>
          <t>Sí</t>
        </is>
      </c>
      <c r="K48" t="inlineStr">
        <is>
          <t>No</t>
        </is>
      </c>
      <c r="L48" t="n">
        <v>2</v>
      </c>
      <c r="M48" t="inlineStr"/>
      <c r="N48" t="inlineStr">
        <is>
          <t>fomento_proveedores</t>
        </is>
      </c>
      <c r="O48" t="inlineStr">
        <is>
          <t>Sí</t>
        </is>
      </c>
      <c r="P48" t="inlineStr">
        <is>
          <t>Forestal_Propias&amp;Fomento</t>
        </is>
      </c>
      <c r="Q48" t="inlineStr">
        <is>
          <t>Fila editable por proveedor.</t>
        </is>
      </c>
    </row>
    <row r="49">
      <c r="A49" t="inlineStr">
        <is>
          <t>forestal_fomento.observaciones_mes</t>
        </is>
      </c>
      <c r="B49" t="inlineStr">
        <is>
          <t>forestal_fomento</t>
        </is>
      </c>
      <c r="C49" t="inlineStr">
        <is>
          <t>forestal_fomento_mensual</t>
        </is>
      </c>
      <c r="D49" t="inlineStr">
        <is>
          <t>D. Fomento – Contratos y Ejecución</t>
        </is>
      </c>
      <c r="E49" t="inlineStr">
        <is>
          <t>fomento_general</t>
        </is>
      </c>
      <c r="F49" t="inlineStr">
        <is>
          <t>observaciones_mes</t>
        </is>
      </c>
      <c r="G49" t="inlineStr">
        <is>
          <t>Comentarios generales del mes</t>
        </is>
      </c>
      <c r="H49" t="inlineStr">
        <is>
          <t>long_text</t>
        </is>
      </c>
      <c r="I49" t="inlineStr"/>
      <c r="J49" t="inlineStr">
        <is>
          <t>No</t>
        </is>
      </c>
      <c r="K49" t="inlineStr">
        <is>
          <t>No</t>
        </is>
      </c>
      <c r="L49" t="n">
        <v>90</v>
      </c>
      <c r="M49" t="inlineStr"/>
      <c r="N49" t="inlineStr"/>
      <c r="O49" t="inlineStr">
        <is>
          <t>No</t>
        </is>
      </c>
      <c r="P49" t="inlineStr">
        <is>
          <t>Forestal_Propias&amp;Fomento</t>
        </is>
      </c>
      <c r="Q49" t="inlineStr">
        <is>
          <t>Texto libre del formulario y del reporte.</t>
        </is>
      </c>
    </row>
    <row r="50">
      <c r="A50" t="inlineStr">
        <is>
          <t>logistica.estado_permisos_mopc</t>
        </is>
      </c>
      <c r="B50" t="inlineStr">
        <is>
          <t>logistica</t>
        </is>
      </c>
      <c r="C50" t="inlineStr">
        <is>
          <t>logistica_mensual</t>
        </is>
      </c>
      <c r="D50" t="inlineStr">
        <is>
          <t>Logística</t>
        </is>
      </c>
      <c r="E50" t="inlineStr">
        <is>
          <t>logistica</t>
        </is>
      </c>
      <c r="F50" t="inlineStr">
        <is>
          <t>estado_permisos_mopc</t>
        </is>
      </c>
      <c r="G50" t="inlineStr">
        <is>
          <t>Estado permisos MOPC</t>
        </is>
      </c>
      <c r="H50" t="inlineStr">
        <is>
          <t>text</t>
        </is>
      </c>
      <c r="I50" t="inlineStr"/>
      <c r="J50" t="inlineStr">
        <is>
          <t>Sí</t>
        </is>
      </c>
      <c r="K50" t="inlineStr">
        <is>
          <t>No</t>
        </is>
      </c>
      <c r="L50" t="n">
        <v>1</v>
      </c>
      <c r="M50" t="inlineStr"/>
      <c r="N50" t="inlineStr"/>
      <c r="O50" t="inlineStr">
        <is>
          <t>No</t>
        </is>
      </c>
      <c r="P50" t="inlineStr">
        <is>
          <t>Logística</t>
        </is>
      </c>
      <c r="Q50" t="inlineStr"/>
    </row>
    <row r="51">
      <c r="A51" t="inlineStr">
        <is>
          <t>logistica.km_servidumbre_acordados</t>
        </is>
      </c>
      <c r="B51" t="inlineStr">
        <is>
          <t>logistica</t>
        </is>
      </c>
      <c r="C51" t="inlineStr">
        <is>
          <t>logistica_mensual</t>
        </is>
      </c>
      <c r="D51" t="inlineStr">
        <is>
          <t>Logística</t>
        </is>
      </c>
      <c r="E51" t="inlineStr">
        <is>
          <t>logistica</t>
        </is>
      </c>
      <c r="F51" t="inlineStr">
        <is>
          <t>km_servidumbre_acordados</t>
        </is>
      </c>
      <c r="G51" t="inlineStr">
        <is>
          <t>Km servidumbre acordados</t>
        </is>
      </c>
      <c r="H51" t="inlineStr">
        <is>
          <t>number</t>
        </is>
      </c>
      <c r="I51" t="inlineStr">
        <is>
          <t>km</t>
        </is>
      </c>
      <c r="J51" t="inlineStr">
        <is>
          <t>Sí</t>
        </is>
      </c>
      <c r="K51" t="inlineStr">
        <is>
          <t>No</t>
        </is>
      </c>
      <c r="L51" t="n">
        <v>2</v>
      </c>
      <c r="M51" t="inlineStr"/>
      <c r="N51" t="inlineStr"/>
      <c r="O51" t="inlineStr">
        <is>
          <t>No</t>
        </is>
      </c>
      <c r="P51" t="inlineStr">
        <is>
          <t>Logística</t>
        </is>
      </c>
      <c r="Q51" t="inlineStr"/>
    </row>
    <row r="52">
      <c r="A52" t="inlineStr">
        <is>
          <t>logistica.km_en_negociacion</t>
        </is>
      </c>
      <c r="B52" t="inlineStr">
        <is>
          <t>logistica</t>
        </is>
      </c>
      <c r="C52" t="inlineStr">
        <is>
          <t>logistica_mensual</t>
        </is>
      </c>
      <c r="D52" t="inlineStr">
        <is>
          <t>Logística</t>
        </is>
      </c>
      <c r="E52" t="inlineStr">
        <is>
          <t>logistica</t>
        </is>
      </c>
      <c r="F52" t="inlineStr">
        <is>
          <t>km_en_negociacion</t>
        </is>
      </c>
      <c r="G52" t="inlineStr">
        <is>
          <t>Km en negociación</t>
        </is>
      </c>
      <c r="H52" t="inlineStr">
        <is>
          <t>number</t>
        </is>
      </c>
      <c r="I52" t="inlineStr">
        <is>
          <t>km</t>
        </is>
      </c>
      <c r="J52" t="inlineStr">
        <is>
          <t>Sí</t>
        </is>
      </c>
      <c r="K52" t="inlineStr">
        <is>
          <t>No</t>
        </is>
      </c>
      <c r="L52" t="n">
        <v>3</v>
      </c>
      <c r="M52" t="inlineStr"/>
      <c r="N52" t="inlineStr"/>
      <c r="O52" t="inlineStr">
        <is>
          <t>No</t>
        </is>
      </c>
      <c r="P52" t="inlineStr">
        <is>
          <t>Logística</t>
        </is>
      </c>
      <c r="Q52" t="inlineStr"/>
    </row>
    <row r="53">
      <c r="A53" t="inlineStr">
        <is>
          <t>logistica.consumo_combustible_flota</t>
        </is>
      </c>
      <c r="B53" t="inlineStr">
        <is>
          <t>logistica</t>
        </is>
      </c>
      <c r="C53" t="inlineStr">
        <is>
          <t>logistica_mensual</t>
        </is>
      </c>
      <c r="D53" t="inlineStr">
        <is>
          <t>Logística</t>
        </is>
      </c>
      <c r="E53" t="inlineStr">
        <is>
          <t>logistica</t>
        </is>
      </c>
      <c r="F53" t="inlineStr">
        <is>
          <t>consumo_combustible_flota</t>
        </is>
      </c>
      <c r="G53" t="inlineStr">
        <is>
          <t>Consumo combustible flota</t>
        </is>
      </c>
      <c r="H53" t="inlineStr">
        <is>
          <t>number</t>
        </is>
      </c>
      <c r="I53" t="inlineStr">
        <is>
          <t>L</t>
        </is>
      </c>
      <c r="J53" t="inlineStr">
        <is>
          <t>Sí</t>
        </is>
      </c>
      <c r="K53" t="inlineStr">
        <is>
          <t>No</t>
        </is>
      </c>
      <c r="L53" t="n">
        <v>4</v>
      </c>
      <c r="M53" t="inlineStr"/>
      <c r="N53" t="inlineStr"/>
      <c r="O53" t="inlineStr">
        <is>
          <t>No</t>
        </is>
      </c>
      <c r="P53" t="inlineStr">
        <is>
          <t>Logística</t>
        </is>
      </c>
      <c r="Q53" t="inlineStr"/>
    </row>
    <row r="54">
      <c r="A54" t="inlineStr">
        <is>
          <t>logistica.observations</t>
        </is>
      </c>
      <c r="B54" t="inlineStr">
        <is>
          <t>logistica</t>
        </is>
      </c>
      <c r="C54" t="inlineStr">
        <is>
          <t>logistica_mensual</t>
        </is>
      </c>
      <c r="D54" t="inlineStr">
        <is>
          <t>Logística</t>
        </is>
      </c>
      <c r="E54" t="inlineStr">
        <is>
          <t>logistica</t>
        </is>
      </c>
      <c r="F54" t="inlineStr">
        <is>
          <t>observations</t>
        </is>
      </c>
      <c r="G54" t="inlineStr">
        <is>
          <t>Observaciones generales</t>
        </is>
      </c>
      <c r="H54" t="inlineStr">
        <is>
          <t>long_text</t>
        </is>
      </c>
      <c r="I54" t="inlineStr"/>
      <c r="J54" t="inlineStr">
        <is>
          <t>No</t>
        </is>
      </c>
      <c r="K54" t="inlineStr">
        <is>
          <t>No</t>
        </is>
      </c>
      <c r="L54" t="n">
        <v>5</v>
      </c>
      <c r="M54" t="inlineStr"/>
      <c r="N54" t="inlineStr"/>
      <c r="O54" t="inlineStr">
        <is>
          <t>No</t>
        </is>
      </c>
      <c r="P54" t="inlineStr">
        <is>
          <t>Logística</t>
        </is>
      </c>
      <c r="Q54" t="inlineStr"/>
    </row>
    <row r="55">
      <c r="A55" t="inlineStr">
        <is>
          <t>operaciones_forestales.habilitacion_ha</t>
        </is>
      </c>
      <c r="B55" t="inlineStr">
        <is>
          <t>operaciones_forestales</t>
        </is>
      </c>
      <c r="C55" t="inlineStr">
        <is>
          <t>oper_forestal_mensual</t>
        </is>
      </c>
      <c r="D55" t="inlineStr">
        <is>
          <t>Operaciones forestales</t>
        </is>
      </c>
      <c r="E55" t="inlineStr">
        <is>
          <t>oper_forestal</t>
        </is>
      </c>
      <c r="F55" t="inlineStr">
        <is>
          <t>habilitacion_ha</t>
        </is>
      </c>
      <c r="G55" t="inlineStr">
        <is>
          <t>Habilitación del mes</t>
        </is>
      </c>
      <c r="H55" t="inlineStr">
        <is>
          <t>number</t>
        </is>
      </c>
      <c r="I55" t="inlineStr">
        <is>
          <t>ha</t>
        </is>
      </c>
      <c r="J55" t="inlineStr">
        <is>
          <t>Sí</t>
        </is>
      </c>
      <c r="K55" t="inlineStr">
        <is>
          <t>No</t>
        </is>
      </c>
      <c r="L55" t="n">
        <v>1</v>
      </c>
      <c r="M55" t="inlineStr"/>
      <c r="N55" t="inlineStr"/>
      <c r="O55" t="inlineStr">
        <is>
          <t>No</t>
        </is>
      </c>
      <c r="P55" t="inlineStr">
        <is>
          <t>Forestal_Oper;Forestal_Oper_Resum</t>
        </is>
      </c>
      <c r="Q55" t="inlineStr"/>
    </row>
    <row r="56">
      <c r="A56" t="inlineStr">
        <is>
          <t>operaciones_forestales.area_preparada_ha</t>
        </is>
      </c>
      <c r="B56" t="inlineStr">
        <is>
          <t>operaciones_forestales</t>
        </is>
      </c>
      <c r="C56" t="inlineStr">
        <is>
          <t>oper_forestal_mensual</t>
        </is>
      </c>
      <c r="D56" t="inlineStr">
        <is>
          <t>Operaciones forestales</t>
        </is>
      </c>
      <c r="E56" t="inlineStr">
        <is>
          <t>oper_forestal</t>
        </is>
      </c>
      <c r="F56" t="inlineStr">
        <is>
          <t>area_preparada_ha</t>
        </is>
      </c>
      <c r="G56" t="inlineStr">
        <is>
          <t>Área preparada del mes</t>
        </is>
      </c>
      <c r="H56" t="inlineStr">
        <is>
          <t>number</t>
        </is>
      </c>
      <c r="I56" t="inlineStr">
        <is>
          <t>ha</t>
        </is>
      </c>
      <c r="J56" t="inlineStr">
        <is>
          <t>Sí</t>
        </is>
      </c>
      <c r="K56" t="inlineStr">
        <is>
          <t>No</t>
        </is>
      </c>
      <c r="L56" t="n">
        <v>2</v>
      </c>
      <c r="M56" t="inlineStr"/>
      <c r="N56" t="inlineStr"/>
      <c r="O56" t="inlineStr">
        <is>
          <t>No</t>
        </is>
      </c>
      <c r="P56" t="inlineStr">
        <is>
          <t>Forestal_Oper;Forestal_Oper_Resum</t>
        </is>
      </c>
      <c r="Q56" t="inlineStr"/>
    </row>
    <row r="57">
      <c r="A57" t="inlineStr">
        <is>
          <t>operaciones_forestales.plantacion_ha</t>
        </is>
      </c>
      <c r="B57" t="inlineStr">
        <is>
          <t>operaciones_forestales</t>
        </is>
      </c>
      <c r="C57" t="inlineStr">
        <is>
          <t>oper_forestal_mensual</t>
        </is>
      </c>
      <c r="D57" t="inlineStr">
        <is>
          <t>Operaciones forestales</t>
        </is>
      </c>
      <c r="E57" t="inlineStr">
        <is>
          <t>oper_forestal</t>
        </is>
      </c>
      <c r="F57" t="inlineStr">
        <is>
          <t>plantacion_ha</t>
        </is>
      </c>
      <c r="G57" t="inlineStr">
        <is>
          <t>Plantación del mes</t>
        </is>
      </c>
      <c r="H57" t="inlineStr">
        <is>
          <t>number</t>
        </is>
      </c>
      <c r="I57" t="inlineStr">
        <is>
          <t>ha</t>
        </is>
      </c>
      <c r="J57" t="inlineStr">
        <is>
          <t>Sí</t>
        </is>
      </c>
      <c r="K57" t="inlineStr">
        <is>
          <t>No</t>
        </is>
      </c>
      <c r="L57" t="n">
        <v>3</v>
      </c>
      <c r="M57" t="inlineStr"/>
      <c r="N57" t="inlineStr"/>
      <c r="O57" t="inlineStr">
        <is>
          <t>No</t>
        </is>
      </c>
      <c r="P57" t="inlineStr">
        <is>
          <t>Forestal_Oper;Forestal_Oper_Resum</t>
        </is>
      </c>
      <c r="Q57" t="inlineStr"/>
    </row>
    <row r="58">
      <c r="A58" t="inlineStr">
        <is>
          <t>operaciones_forestales.reforma_ha</t>
        </is>
      </c>
      <c r="B58" t="inlineStr">
        <is>
          <t>operaciones_forestales</t>
        </is>
      </c>
      <c r="C58" t="inlineStr">
        <is>
          <t>oper_forestal_mensual</t>
        </is>
      </c>
      <c r="D58" t="inlineStr">
        <is>
          <t>Operaciones forestales</t>
        </is>
      </c>
      <c r="E58" t="inlineStr">
        <is>
          <t>oper_forestal</t>
        </is>
      </c>
      <c r="F58" t="inlineStr">
        <is>
          <t>reforma_ha</t>
        </is>
      </c>
      <c r="G58" t="inlineStr">
        <is>
          <t>Reforma del mes</t>
        </is>
      </c>
      <c r="H58" t="inlineStr">
        <is>
          <t>number</t>
        </is>
      </c>
      <c r="I58" t="inlineStr">
        <is>
          <t>ha</t>
        </is>
      </c>
      <c r="J58" t="inlineStr">
        <is>
          <t>No</t>
        </is>
      </c>
      <c r="K58" t="inlineStr">
        <is>
          <t>No</t>
        </is>
      </c>
      <c r="L58" t="n">
        <v>4</v>
      </c>
      <c r="M58" t="inlineStr"/>
      <c r="N58" t="inlineStr"/>
      <c r="O58" t="inlineStr">
        <is>
          <t>No</t>
        </is>
      </c>
      <c r="P58" t="inlineStr">
        <is>
          <t>Forestal_Oper;Forestal_Oper_Resum</t>
        </is>
      </c>
      <c r="Q58" t="inlineStr"/>
    </row>
    <row r="59">
      <c r="A59" t="inlineStr">
        <is>
          <t>operaciones_forestales.fertilizacion_base_pct</t>
        </is>
      </c>
      <c r="B59" t="inlineStr">
        <is>
          <t>operaciones_forestales</t>
        </is>
      </c>
      <c r="C59" t="inlineStr">
        <is>
          <t>oper_forestal_mensual</t>
        </is>
      </c>
      <c r="D59" t="inlineStr">
        <is>
          <t>Operaciones forestales</t>
        </is>
      </c>
      <c r="E59" t="inlineStr">
        <is>
          <t>oper_forestal</t>
        </is>
      </c>
      <c r="F59" t="inlineStr">
        <is>
          <t>fertilizacion_base_pct</t>
        </is>
      </c>
      <c r="G59" t="inlineStr">
        <is>
          <t>Conforme a especificaciones de fertilización de base</t>
        </is>
      </c>
      <c r="H59" t="inlineStr">
        <is>
          <t>number</t>
        </is>
      </c>
      <c r="I59" t="inlineStr">
        <is>
          <t>%</t>
        </is>
      </c>
      <c r="J59" t="inlineStr">
        <is>
          <t>No</t>
        </is>
      </c>
      <c r="K59" t="inlineStr">
        <is>
          <t>No</t>
        </is>
      </c>
      <c r="L59" t="n">
        <v>5</v>
      </c>
      <c r="M59" t="inlineStr"/>
      <c r="N59" t="inlineStr"/>
      <c r="O59" t="inlineStr">
        <is>
          <t>No</t>
        </is>
      </c>
      <c r="P59" t="inlineStr">
        <is>
          <t>Forestal_Oper;Forestal_Oper_Resum</t>
        </is>
      </c>
      <c r="Q59" t="inlineStr"/>
    </row>
    <row r="60">
      <c r="A60" t="inlineStr">
        <is>
          <t>operaciones_forestales.propias_acum</t>
        </is>
      </c>
      <c r="B60" t="inlineStr">
        <is>
          <t>operaciones_forestales</t>
        </is>
      </c>
      <c r="C60" t="inlineStr">
        <is>
          <t>oper_forestal_mensual</t>
        </is>
      </c>
      <c r="D60" t="inlineStr">
        <is>
          <t>Operaciones forestales</t>
        </is>
      </c>
      <c r="E60" t="inlineStr">
        <is>
          <t>oper_forestal</t>
        </is>
      </c>
      <c r="F60" t="inlineStr">
        <is>
          <t>propias_acum</t>
        </is>
      </c>
      <c r="G60" t="inlineStr">
        <is>
          <t>Propias acumulado</t>
        </is>
      </c>
      <c r="H60" t="inlineStr">
        <is>
          <t>number</t>
        </is>
      </c>
      <c r="I60" t="inlineStr">
        <is>
          <t>ha</t>
        </is>
      </c>
      <c r="J60" t="inlineStr">
        <is>
          <t>No</t>
        </is>
      </c>
      <c r="K60" t="inlineStr">
        <is>
          <t>No</t>
        </is>
      </c>
      <c r="L60" t="n">
        <v>6</v>
      </c>
      <c r="M60" t="inlineStr"/>
      <c r="N60" t="inlineStr"/>
      <c r="O60" t="inlineStr">
        <is>
          <t>No</t>
        </is>
      </c>
      <c r="P60" t="inlineStr">
        <is>
          <t>Forestal_Oper;Forestal_Oper_Resum</t>
        </is>
      </c>
      <c r="Q60" t="inlineStr"/>
    </row>
    <row r="61">
      <c r="A61" t="inlineStr">
        <is>
          <t>operaciones_forestales.fomento_acum</t>
        </is>
      </c>
      <c r="B61" t="inlineStr">
        <is>
          <t>operaciones_forestales</t>
        </is>
      </c>
      <c r="C61" t="inlineStr">
        <is>
          <t>oper_forestal_mensual</t>
        </is>
      </c>
      <c r="D61" t="inlineStr">
        <is>
          <t>Operaciones forestales</t>
        </is>
      </c>
      <c r="E61" t="inlineStr">
        <is>
          <t>oper_forestal</t>
        </is>
      </c>
      <c r="F61" t="inlineStr">
        <is>
          <t>fomento_acum</t>
        </is>
      </c>
      <c r="G61" t="inlineStr">
        <is>
          <t>Fomento acumulado</t>
        </is>
      </c>
      <c r="H61" t="inlineStr">
        <is>
          <t>number</t>
        </is>
      </c>
      <c r="I61" t="inlineStr">
        <is>
          <t>ha</t>
        </is>
      </c>
      <c r="J61" t="inlineStr">
        <is>
          <t>No</t>
        </is>
      </c>
      <c r="K61" t="inlineStr">
        <is>
          <t>No</t>
        </is>
      </c>
      <c r="L61" t="n">
        <v>7</v>
      </c>
      <c r="M61" t="inlineStr"/>
      <c r="N61" t="inlineStr"/>
      <c r="O61" t="inlineStr">
        <is>
          <t>No</t>
        </is>
      </c>
      <c r="P61" t="inlineStr">
        <is>
          <t>Forestal_Oper;Forestal_Oper_Resum</t>
        </is>
      </c>
      <c r="Q61" t="inlineStr"/>
    </row>
    <row r="62">
      <c r="A62" t="inlineStr">
        <is>
          <t>operaciones_forestales.compra_madera_acum</t>
        </is>
      </c>
      <c r="B62" t="inlineStr">
        <is>
          <t>operaciones_forestales</t>
        </is>
      </c>
      <c r="C62" t="inlineStr">
        <is>
          <t>oper_forestal_mensual</t>
        </is>
      </c>
      <c r="D62" t="inlineStr">
        <is>
          <t>Operaciones forestales</t>
        </is>
      </c>
      <c r="E62" t="inlineStr">
        <is>
          <t>oper_forestal</t>
        </is>
      </c>
      <c r="F62" t="inlineStr">
        <is>
          <t>compra_madera_acum</t>
        </is>
      </c>
      <c r="G62" t="inlineStr">
        <is>
          <t>Compra de madera acumulado</t>
        </is>
      </c>
      <c r="H62" t="inlineStr">
        <is>
          <t>number</t>
        </is>
      </c>
      <c r="I62" t="inlineStr">
        <is>
          <t>m3</t>
        </is>
      </c>
      <c r="J62" t="inlineStr">
        <is>
          <t>No</t>
        </is>
      </c>
      <c r="K62" t="inlineStr">
        <is>
          <t>No</t>
        </is>
      </c>
      <c r="L62" t="n">
        <v>8</v>
      </c>
      <c r="M62" t="inlineStr"/>
      <c r="N62" t="inlineStr"/>
      <c r="O62" t="inlineStr">
        <is>
          <t>No</t>
        </is>
      </c>
      <c r="P62" t="inlineStr">
        <is>
          <t>Forestal_Oper;Forestal_Oper_Resum</t>
        </is>
      </c>
      <c r="Q62" t="inlineStr"/>
    </row>
    <row r="63">
      <c r="A63" t="inlineStr">
        <is>
          <t>operaciones_forestales.observations</t>
        </is>
      </c>
      <c r="B63" t="inlineStr">
        <is>
          <t>operaciones_forestales</t>
        </is>
      </c>
      <c r="C63" t="inlineStr">
        <is>
          <t>oper_forestal_mensual</t>
        </is>
      </c>
      <c r="D63" t="inlineStr">
        <is>
          <t>Operaciones forestales</t>
        </is>
      </c>
      <c r="E63" t="inlineStr">
        <is>
          <t>oper_forestal</t>
        </is>
      </c>
      <c r="F63" t="inlineStr">
        <is>
          <t>observations</t>
        </is>
      </c>
      <c r="G63" t="inlineStr">
        <is>
          <t>Observaciones del mes</t>
        </is>
      </c>
      <c r="H63" t="inlineStr">
        <is>
          <t>long_text</t>
        </is>
      </c>
      <c r="I63" t="inlineStr"/>
      <c r="J63" t="inlineStr">
        <is>
          <t>No</t>
        </is>
      </c>
      <c r="K63" t="inlineStr">
        <is>
          <t>No</t>
        </is>
      </c>
      <c r="L63" t="n">
        <v>9</v>
      </c>
      <c r="M63" t="inlineStr"/>
      <c r="N63" t="inlineStr"/>
      <c r="O63" t="inlineStr">
        <is>
          <t>No</t>
        </is>
      </c>
      <c r="P63" t="inlineStr">
        <is>
          <t>Forestal_Oper;Forestal_Oper_Resum</t>
        </is>
      </c>
      <c r="Q63" t="inlineStr"/>
    </row>
    <row r="64">
      <c r="A64" t="inlineStr">
        <is>
          <t>operaciones_industriales.objetivo_mantenimiento</t>
        </is>
      </c>
      <c r="B64" t="inlineStr">
        <is>
          <t>operaciones_industriales</t>
        </is>
      </c>
      <c r="C64" t="inlineStr">
        <is>
          <t>oper_industrial_mensual</t>
        </is>
      </c>
      <c r="D64" t="inlineStr">
        <is>
          <t>Operaciones industriales</t>
        </is>
      </c>
      <c r="E64" t="inlineStr">
        <is>
          <t>oper_industrial</t>
        </is>
      </c>
      <c r="F64" t="inlineStr">
        <is>
          <t>objetivo_mantenimiento</t>
        </is>
      </c>
      <c r="G64" t="inlineStr">
        <is>
          <t>Objetivo mantenimiento movimiento de suelo</t>
        </is>
      </c>
      <c r="H64" t="inlineStr">
        <is>
          <t>number</t>
        </is>
      </c>
      <c r="I64" t="inlineStr">
        <is>
          <t>m3</t>
        </is>
      </c>
      <c r="J64" t="inlineStr">
        <is>
          <t>Sí</t>
        </is>
      </c>
      <c r="K64" t="inlineStr">
        <is>
          <t>No</t>
        </is>
      </c>
      <c r="L64" t="n">
        <v>1</v>
      </c>
      <c r="M64" t="inlineStr"/>
      <c r="N64" t="inlineStr"/>
      <c r="O64" t="inlineStr">
        <is>
          <t>No</t>
        </is>
      </c>
      <c r="P64" t="inlineStr">
        <is>
          <t>Industrial_Oper</t>
        </is>
      </c>
      <c r="Q64" t="inlineStr"/>
    </row>
    <row r="65">
      <c r="A65" t="inlineStr">
        <is>
          <t>operaciones_industriales.ejecutado_mantenimiento</t>
        </is>
      </c>
      <c r="B65" t="inlineStr">
        <is>
          <t>operaciones_industriales</t>
        </is>
      </c>
      <c r="C65" t="inlineStr">
        <is>
          <t>oper_industrial_mensual</t>
        </is>
      </c>
      <c r="D65" t="inlineStr">
        <is>
          <t>Operaciones industriales</t>
        </is>
      </c>
      <c r="E65" t="inlineStr">
        <is>
          <t>oper_industrial</t>
        </is>
      </c>
      <c r="F65" t="inlineStr">
        <is>
          <t>ejecutado_mantenimiento</t>
        </is>
      </c>
      <c r="G65" t="inlineStr">
        <is>
          <t>Ejecutado mantenimiento movimiento de suelo</t>
        </is>
      </c>
      <c r="H65" t="inlineStr">
        <is>
          <t>number</t>
        </is>
      </c>
      <c r="I65" t="inlineStr">
        <is>
          <t>m3</t>
        </is>
      </c>
      <c r="J65" t="inlineStr">
        <is>
          <t>Sí</t>
        </is>
      </c>
      <c r="K65" t="inlineStr">
        <is>
          <t>No</t>
        </is>
      </c>
      <c r="L65" t="n">
        <v>2</v>
      </c>
      <c r="M65" t="inlineStr"/>
      <c r="N65" t="inlineStr"/>
      <c r="O65" t="inlineStr">
        <is>
          <t>No</t>
        </is>
      </c>
      <c r="P65" t="inlineStr">
        <is>
          <t>Industrial_Oper</t>
        </is>
      </c>
      <c r="Q65" t="inlineStr"/>
    </row>
    <row r="66">
      <c r="A66" t="inlineStr">
        <is>
          <t>operaciones_industriales.pct_ejecutado</t>
        </is>
      </c>
      <c r="B66" t="inlineStr">
        <is>
          <t>operaciones_industriales</t>
        </is>
      </c>
      <c r="C66" t="inlineStr">
        <is>
          <t>oper_industrial_mensual</t>
        </is>
      </c>
      <c r="D66" t="inlineStr">
        <is>
          <t>Operaciones industriales</t>
        </is>
      </c>
      <c r="E66" t="inlineStr">
        <is>
          <t>oper_industrial</t>
        </is>
      </c>
      <c r="F66" t="inlineStr">
        <is>
          <t>pct_ejecutado</t>
        </is>
      </c>
      <c r="G66" t="inlineStr">
        <is>
          <t>Porcentaje ejecutado</t>
        </is>
      </c>
      <c r="H66" t="inlineStr">
        <is>
          <t>number</t>
        </is>
      </c>
      <c r="I66" t="inlineStr">
        <is>
          <t>%</t>
        </is>
      </c>
      <c r="J66" t="inlineStr">
        <is>
          <t>No</t>
        </is>
      </c>
      <c r="K66" t="inlineStr">
        <is>
          <t>No</t>
        </is>
      </c>
      <c r="L66" t="n">
        <v>3</v>
      </c>
      <c r="M66" t="inlineStr"/>
      <c r="N66" t="inlineStr"/>
      <c r="O66" t="inlineStr">
        <is>
          <t>No</t>
        </is>
      </c>
      <c r="P66" t="inlineStr">
        <is>
          <t>Industrial_Oper</t>
        </is>
      </c>
      <c r="Q66" t="inlineStr"/>
    </row>
    <row r="67">
      <c r="A67" t="inlineStr">
        <is>
          <t>operaciones_industriales.observations</t>
        </is>
      </c>
      <c r="B67" t="inlineStr">
        <is>
          <t>operaciones_industriales</t>
        </is>
      </c>
      <c r="C67" t="inlineStr">
        <is>
          <t>oper_industrial_mensual</t>
        </is>
      </c>
      <c r="D67" t="inlineStr">
        <is>
          <t>Operaciones industriales</t>
        </is>
      </c>
      <c r="E67" t="inlineStr">
        <is>
          <t>oper_industrial</t>
        </is>
      </c>
      <c r="F67" t="inlineStr">
        <is>
          <t>observations</t>
        </is>
      </c>
      <c r="G67" t="inlineStr">
        <is>
          <t>Observaciones del mes</t>
        </is>
      </c>
      <c r="H67" t="inlineStr">
        <is>
          <t>long_text</t>
        </is>
      </c>
      <c r="I67" t="inlineStr"/>
      <c r="J67" t="inlineStr">
        <is>
          <t>No</t>
        </is>
      </c>
      <c r="K67" t="inlineStr">
        <is>
          <t>No</t>
        </is>
      </c>
      <c r="L67" t="n">
        <v>4</v>
      </c>
      <c r="M67" t="inlineStr"/>
      <c r="N67" t="inlineStr"/>
      <c r="O67" t="inlineStr">
        <is>
          <t>No</t>
        </is>
      </c>
      <c r="P67" t="inlineStr">
        <is>
          <t>Industrial_Oper</t>
        </is>
      </c>
      <c r="Q67" t="inlineStr"/>
    </row>
    <row r="68">
      <c r="A68" t="inlineStr">
        <is>
          <t>ssl_forestal.hours_month</t>
        </is>
      </c>
      <c r="B68" t="inlineStr">
        <is>
          <t>ssl_forestal</t>
        </is>
      </c>
      <c r="C68" t="inlineStr">
        <is>
          <t>ssl_mensual</t>
        </is>
      </c>
      <c r="D68" t="inlineStr">
        <is>
          <t>Horas y accidentabilidad</t>
        </is>
      </c>
      <c r="E68" t="inlineStr">
        <is>
          <t>ssl</t>
        </is>
      </c>
      <c r="F68" t="inlineStr">
        <is>
          <t>hours_month</t>
        </is>
      </c>
      <c r="G68" t="inlineStr">
        <is>
          <t>Horas trabajadas del mes</t>
        </is>
      </c>
      <c r="H68" t="inlineStr">
        <is>
          <t>number</t>
        </is>
      </c>
      <c r="I68" t="inlineStr">
        <is>
          <t>h</t>
        </is>
      </c>
      <c r="J68" t="inlineStr">
        <is>
          <t>Sí</t>
        </is>
      </c>
      <c r="K68" t="inlineStr">
        <is>
          <t>No</t>
        </is>
      </c>
      <c r="L68" t="n">
        <v>1</v>
      </c>
      <c r="M68" t="inlineStr"/>
      <c r="N68" t="inlineStr"/>
      <c r="O68" t="inlineStr">
        <is>
          <t>No</t>
        </is>
      </c>
      <c r="P68" t="inlineStr">
        <is>
          <t>Forestal_SSL</t>
        </is>
      </c>
      <c r="Q68" t="inlineStr"/>
    </row>
    <row r="69">
      <c r="A69" t="inlineStr">
        <is>
          <t>ssl_forestal.hours_ytd</t>
        </is>
      </c>
      <c r="B69" t="inlineStr">
        <is>
          <t>ssl_forestal</t>
        </is>
      </c>
      <c r="C69" t="inlineStr">
        <is>
          <t>ssl_mensual</t>
        </is>
      </c>
      <c r="D69" t="inlineStr">
        <is>
          <t>Horas y accidentabilidad</t>
        </is>
      </c>
      <c r="E69" t="inlineStr">
        <is>
          <t>ssl</t>
        </is>
      </c>
      <c r="F69" t="inlineStr">
        <is>
          <t>hours_ytd</t>
        </is>
      </c>
      <c r="G69" t="inlineStr">
        <is>
          <t>Horas trabajadas acumuladas desde enero</t>
        </is>
      </c>
      <c r="H69" t="inlineStr">
        <is>
          <t>number</t>
        </is>
      </c>
      <c r="I69" t="inlineStr">
        <is>
          <t>h</t>
        </is>
      </c>
      <c r="J69" t="inlineStr">
        <is>
          <t>No</t>
        </is>
      </c>
      <c r="K69" t="inlineStr">
        <is>
          <t>No</t>
        </is>
      </c>
      <c r="L69" t="n">
        <v>2</v>
      </c>
      <c r="M69" t="inlineStr"/>
      <c r="N69" t="inlineStr"/>
      <c r="O69" t="inlineStr">
        <is>
          <t>No</t>
        </is>
      </c>
      <c r="P69" t="inlineStr">
        <is>
          <t>Forestal_SSL</t>
        </is>
      </c>
      <c r="Q69" t="inlineStr"/>
    </row>
    <row r="70">
      <c r="A70" t="inlineStr">
        <is>
          <t>ssl_forestal.hours_total</t>
        </is>
      </c>
      <c r="B70" t="inlineStr">
        <is>
          <t>ssl_forestal</t>
        </is>
      </c>
      <c r="C70" t="inlineStr">
        <is>
          <t>ssl_mensual</t>
        </is>
      </c>
      <c r="D70" t="inlineStr">
        <is>
          <t>Horas y accidentabilidad</t>
        </is>
      </c>
      <c r="E70" t="inlineStr">
        <is>
          <t>ssl</t>
        </is>
      </c>
      <c r="F70" t="inlineStr">
        <is>
          <t>hours_total</t>
        </is>
      </c>
      <c r="G70" t="inlineStr">
        <is>
          <t>Horas trabajadas desde el inicio de obras</t>
        </is>
      </c>
      <c r="H70" t="inlineStr">
        <is>
          <t>number</t>
        </is>
      </c>
      <c r="I70" t="inlineStr">
        <is>
          <t>h</t>
        </is>
      </c>
      <c r="J70" t="inlineStr">
        <is>
          <t>No</t>
        </is>
      </c>
      <c r="K70" t="inlineStr">
        <is>
          <t>No</t>
        </is>
      </c>
      <c r="L70" t="n">
        <v>3</v>
      </c>
      <c r="M70" t="inlineStr"/>
      <c r="N70" t="inlineStr"/>
      <c r="O70" t="inlineStr">
        <is>
          <t>No</t>
        </is>
      </c>
      <c r="P70" t="inlineStr">
        <is>
          <t>Forestal_SSL</t>
        </is>
      </c>
      <c r="Q70" t="inlineStr"/>
    </row>
    <row r="71">
      <c r="A71" t="inlineStr">
        <is>
          <t>ssl_forestal.safe_hours_start_date</t>
        </is>
      </c>
      <c r="B71" t="inlineStr">
        <is>
          <t>ssl_forestal</t>
        </is>
      </c>
      <c r="C71" t="inlineStr">
        <is>
          <t>ssl_mensual</t>
        </is>
      </c>
      <c r="D71" t="inlineStr">
        <is>
          <t>Horas y accidentabilidad</t>
        </is>
      </c>
      <c r="E71" t="inlineStr">
        <is>
          <t>ssl</t>
        </is>
      </c>
      <c r="F71" t="inlineStr">
        <is>
          <t>safe_hours_start_date</t>
        </is>
      </c>
      <c r="G71" t="inlineStr">
        <is>
          <t>Fecha de inicio del conteo de horas sin accidente</t>
        </is>
      </c>
      <c r="H71" t="inlineStr">
        <is>
          <t>date</t>
        </is>
      </c>
      <c r="I71" t="inlineStr"/>
      <c r="J71" t="inlineStr">
        <is>
          <t>Sí</t>
        </is>
      </c>
      <c r="K71" t="inlineStr">
        <is>
          <t>No</t>
        </is>
      </c>
      <c r="L71" t="n">
        <v>4</v>
      </c>
      <c r="M71" t="inlineStr"/>
      <c r="N71" t="inlineStr"/>
      <c r="O71" t="inlineStr">
        <is>
          <t>No</t>
        </is>
      </c>
      <c r="P71" t="inlineStr">
        <is>
          <t>Forestal_SSL</t>
        </is>
      </c>
      <c r="Q71" t="inlineStr"/>
    </row>
    <row r="72">
      <c r="A72" t="inlineStr">
        <is>
          <t>ssl_forestal.safe_hours</t>
        </is>
      </c>
      <c r="B72" t="inlineStr">
        <is>
          <t>ssl_forestal</t>
        </is>
      </c>
      <c r="C72" t="inlineStr">
        <is>
          <t>ssl_mensual</t>
        </is>
      </c>
      <c r="D72" t="inlineStr">
        <is>
          <t>Horas y accidentabilidad</t>
        </is>
      </c>
      <c r="E72" t="inlineStr">
        <is>
          <t>ssl</t>
        </is>
      </c>
      <c r="F72" t="inlineStr">
        <is>
          <t>safe_hours</t>
        </is>
      </c>
      <c r="G72" t="inlineStr">
        <is>
          <t>Horas trabajadas sin accidentes</t>
        </is>
      </c>
      <c r="H72" t="inlineStr">
        <is>
          <t>number</t>
        </is>
      </c>
      <c r="I72" t="inlineStr">
        <is>
          <t>h</t>
        </is>
      </c>
      <c r="J72" t="inlineStr">
        <is>
          <t>Sí</t>
        </is>
      </c>
      <c r="K72" t="inlineStr">
        <is>
          <t>No</t>
        </is>
      </c>
      <c r="L72" t="n">
        <v>5</v>
      </c>
      <c r="M72" t="inlineStr"/>
      <c r="N72" t="inlineStr"/>
      <c r="O72" t="inlineStr">
        <is>
          <t>No</t>
        </is>
      </c>
      <c r="P72" t="inlineStr">
        <is>
          <t>Forestal_SSL</t>
        </is>
      </c>
      <c r="Q72" t="inlineStr"/>
    </row>
    <row r="73">
      <c r="A73" t="inlineStr">
        <is>
          <t>ssl_forestal.accidents_lost_time</t>
        </is>
      </c>
      <c r="B73" t="inlineStr">
        <is>
          <t>ssl_forestal</t>
        </is>
      </c>
      <c r="C73" t="inlineStr">
        <is>
          <t>ssl_mensual</t>
        </is>
      </c>
      <c r="D73" t="inlineStr">
        <is>
          <t>Horas y accidentabilidad</t>
        </is>
      </c>
      <c r="E73" t="inlineStr">
        <is>
          <t>ssl</t>
        </is>
      </c>
      <c r="F73" t="inlineStr">
        <is>
          <t>accidents_lost_time</t>
        </is>
      </c>
      <c r="G73" t="inlineStr">
        <is>
          <t>Accidentes con baja laboral</t>
        </is>
      </c>
      <c r="H73" t="inlineStr">
        <is>
          <t>number</t>
        </is>
      </c>
      <c r="I73" t="inlineStr">
        <is>
          <t>casos</t>
        </is>
      </c>
      <c r="J73" t="inlineStr">
        <is>
          <t>Sí</t>
        </is>
      </c>
      <c r="K73" t="inlineStr">
        <is>
          <t>No</t>
        </is>
      </c>
      <c r="L73" t="n">
        <v>6</v>
      </c>
      <c r="M73" t="inlineStr"/>
      <c r="N73" t="inlineStr"/>
      <c r="O73" t="inlineStr">
        <is>
          <t>No</t>
        </is>
      </c>
      <c r="P73" t="inlineStr">
        <is>
          <t>Forestal_SSL</t>
        </is>
      </c>
      <c r="Q73" t="inlineStr"/>
    </row>
    <row r="74">
      <c r="A74" t="inlineStr">
        <is>
          <t>ssl_forestal.accidents_no_lost_time</t>
        </is>
      </c>
      <c r="B74" t="inlineStr">
        <is>
          <t>ssl_forestal</t>
        </is>
      </c>
      <c r="C74" t="inlineStr">
        <is>
          <t>ssl_mensual</t>
        </is>
      </c>
      <c r="D74" t="inlineStr">
        <is>
          <t>Horas y accidentabilidad</t>
        </is>
      </c>
      <c r="E74" t="inlineStr">
        <is>
          <t>ssl</t>
        </is>
      </c>
      <c r="F74" t="inlineStr">
        <is>
          <t>accidents_no_lost_time</t>
        </is>
      </c>
      <c r="G74" t="inlineStr">
        <is>
          <t>Accidentes sin baja laboral</t>
        </is>
      </c>
      <c r="H74" t="inlineStr">
        <is>
          <t>number</t>
        </is>
      </c>
      <c r="I74" t="inlineStr">
        <is>
          <t>casos</t>
        </is>
      </c>
      <c r="J74" t="inlineStr">
        <is>
          <t>Sí</t>
        </is>
      </c>
      <c r="K74" t="inlineStr">
        <is>
          <t>No</t>
        </is>
      </c>
      <c r="L74" t="n">
        <v>7</v>
      </c>
      <c r="M74" t="inlineStr"/>
      <c r="N74" t="inlineStr"/>
      <c r="O74" t="inlineStr">
        <is>
          <t>No</t>
        </is>
      </c>
      <c r="P74" t="inlineStr">
        <is>
          <t>Forestal_SSL</t>
        </is>
      </c>
      <c r="Q74" t="inlineStr"/>
    </row>
    <row r="75">
      <c r="A75" t="inlineStr">
        <is>
          <t>ssl_forestal.accident_rate_lost</t>
        </is>
      </c>
      <c r="B75" t="inlineStr">
        <is>
          <t>ssl_forestal</t>
        </is>
      </c>
      <c r="C75" t="inlineStr">
        <is>
          <t>ssl_mensual</t>
        </is>
      </c>
      <c r="D75" t="inlineStr">
        <is>
          <t>Horas y accidentabilidad</t>
        </is>
      </c>
      <c r="E75" t="inlineStr">
        <is>
          <t>ssl</t>
        </is>
      </c>
      <c r="F75" t="inlineStr">
        <is>
          <t>accident_rate_lost</t>
        </is>
      </c>
      <c r="G75" t="inlineStr">
        <is>
          <t>Tasa de accidentes con baja</t>
        </is>
      </c>
      <c r="H75" t="inlineStr">
        <is>
          <t>number</t>
        </is>
      </c>
      <c r="I75" t="inlineStr">
        <is>
          <t>x 1.000.000 h</t>
        </is>
      </c>
      <c r="J75" t="inlineStr">
        <is>
          <t>No</t>
        </is>
      </c>
      <c r="K75" t="inlineStr">
        <is>
          <t>No</t>
        </is>
      </c>
      <c r="L75" t="n">
        <v>8</v>
      </c>
      <c r="M75" t="inlineStr"/>
      <c r="N75" t="inlineStr"/>
      <c r="O75" t="inlineStr">
        <is>
          <t>No</t>
        </is>
      </c>
      <c r="P75" t="inlineStr">
        <is>
          <t>Forestal_SSL</t>
        </is>
      </c>
      <c r="Q75" t="inlineStr"/>
    </row>
    <row r="76">
      <c r="A76" t="inlineStr">
        <is>
          <t>ssl_forestal.accident_rate_total</t>
        </is>
      </c>
      <c r="B76" t="inlineStr">
        <is>
          <t>ssl_forestal</t>
        </is>
      </c>
      <c r="C76" t="inlineStr">
        <is>
          <t>ssl_mensual</t>
        </is>
      </c>
      <c r="D76" t="inlineStr">
        <is>
          <t>Horas y accidentabilidad</t>
        </is>
      </c>
      <c r="E76" t="inlineStr">
        <is>
          <t>ssl</t>
        </is>
      </c>
      <c r="F76" t="inlineStr">
        <is>
          <t>accident_rate_total</t>
        </is>
      </c>
      <c r="G76" t="inlineStr">
        <is>
          <t>Tasa de accidentes total</t>
        </is>
      </c>
      <c r="H76" t="inlineStr">
        <is>
          <t>number</t>
        </is>
      </c>
      <c r="I76" t="inlineStr">
        <is>
          <t>x 1.000.000 h</t>
        </is>
      </c>
      <c r="J76" t="inlineStr">
        <is>
          <t>No</t>
        </is>
      </c>
      <c r="K76" t="inlineStr">
        <is>
          <t>No</t>
        </is>
      </c>
      <c r="L76" t="n">
        <v>9</v>
      </c>
      <c r="M76" t="inlineStr"/>
      <c r="N76" t="inlineStr"/>
      <c r="O76" t="inlineStr">
        <is>
          <t>No</t>
        </is>
      </c>
      <c r="P76" t="inlineStr">
        <is>
          <t>Forestal_SSL</t>
        </is>
      </c>
      <c r="Q76" t="inlineStr"/>
    </row>
    <row r="77">
      <c r="A77" t="inlineStr">
        <is>
          <t>ssl_forestal.observations</t>
        </is>
      </c>
      <c r="B77" t="inlineStr">
        <is>
          <t>ssl_forestal</t>
        </is>
      </c>
      <c r="C77" t="inlineStr">
        <is>
          <t>ssl_mensual</t>
        </is>
      </c>
      <c r="D77" t="inlineStr">
        <is>
          <t>Horas y accidentabilidad</t>
        </is>
      </c>
      <c r="E77" t="inlineStr">
        <is>
          <t>ssl</t>
        </is>
      </c>
      <c r="F77" t="inlineStr">
        <is>
          <t>observations</t>
        </is>
      </c>
      <c r="G77" t="inlineStr">
        <is>
          <t>Observaciones del mes</t>
        </is>
      </c>
      <c r="H77" t="inlineStr">
        <is>
          <t>long_text</t>
        </is>
      </c>
      <c r="I77" t="inlineStr"/>
      <c r="J77" t="inlineStr">
        <is>
          <t>No</t>
        </is>
      </c>
      <c r="K77" t="inlineStr">
        <is>
          <t>No</t>
        </is>
      </c>
      <c r="L77" t="n">
        <v>10</v>
      </c>
      <c r="M77" t="inlineStr"/>
      <c r="N77" t="inlineStr"/>
      <c r="O77" t="inlineStr">
        <is>
          <t>No</t>
        </is>
      </c>
      <c r="P77" t="inlineStr">
        <is>
          <t>Forestal_SSL</t>
        </is>
      </c>
      <c r="Q77" t="inlineStr"/>
    </row>
    <row r="78">
      <c r="A78" t="inlineStr">
        <is>
          <t>ssl_industrial.hours_month</t>
        </is>
      </c>
      <c r="B78" t="inlineStr">
        <is>
          <t>ssl_industrial</t>
        </is>
      </c>
      <c r="C78" t="inlineStr">
        <is>
          <t>ssl_mensual</t>
        </is>
      </c>
      <c r="D78" t="inlineStr">
        <is>
          <t>Horas y accidentabilidad</t>
        </is>
      </c>
      <c r="E78" t="inlineStr">
        <is>
          <t>ssl</t>
        </is>
      </c>
      <c r="F78" t="inlineStr">
        <is>
          <t>hours_month</t>
        </is>
      </c>
      <c r="G78" t="inlineStr">
        <is>
          <t>Horas trabajadas del mes</t>
        </is>
      </c>
      <c r="H78" t="inlineStr">
        <is>
          <t>number</t>
        </is>
      </c>
      <c r="I78" t="inlineStr">
        <is>
          <t>h</t>
        </is>
      </c>
      <c r="J78" t="inlineStr">
        <is>
          <t>Sí</t>
        </is>
      </c>
      <c r="K78" t="inlineStr">
        <is>
          <t>No</t>
        </is>
      </c>
      <c r="L78" t="n">
        <v>1</v>
      </c>
      <c r="M78" t="inlineStr"/>
      <c r="N78" t="inlineStr"/>
      <c r="O78" t="inlineStr">
        <is>
          <t>No</t>
        </is>
      </c>
      <c r="P78" t="inlineStr">
        <is>
          <t>Industrial_SSL</t>
        </is>
      </c>
      <c r="Q78" t="inlineStr"/>
    </row>
    <row r="79">
      <c r="A79" t="inlineStr">
        <is>
          <t>ssl_industrial.hours_ytd</t>
        </is>
      </c>
      <c r="B79" t="inlineStr">
        <is>
          <t>ssl_industrial</t>
        </is>
      </c>
      <c r="C79" t="inlineStr">
        <is>
          <t>ssl_mensual</t>
        </is>
      </c>
      <c r="D79" t="inlineStr">
        <is>
          <t>Horas y accidentabilidad</t>
        </is>
      </c>
      <c r="E79" t="inlineStr">
        <is>
          <t>ssl</t>
        </is>
      </c>
      <c r="F79" t="inlineStr">
        <is>
          <t>hours_ytd</t>
        </is>
      </c>
      <c r="G79" t="inlineStr">
        <is>
          <t>Horas trabajadas acumuladas desde enero</t>
        </is>
      </c>
      <c r="H79" t="inlineStr">
        <is>
          <t>number</t>
        </is>
      </c>
      <c r="I79" t="inlineStr">
        <is>
          <t>h</t>
        </is>
      </c>
      <c r="J79" t="inlineStr">
        <is>
          <t>No</t>
        </is>
      </c>
      <c r="K79" t="inlineStr">
        <is>
          <t>No</t>
        </is>
      </c>
      <c r="L79" t="n">
        <v>2</v>
      </c>
      <c r="M79" t="inlineStr"/>
      <c r="N79" t="inlineStr"/>
      <c r="O79" t="inlineStr">
        <is>
          <t>No</t>
        </is>
      </c>
      <c r="P79" t="inlineStr">
        <is>
          <t>Industrial_SSL</t>
        </is>
      </c>
      <c r="Q79" t="inlineStr"/>
    </row>
    <row r="80">
      <c r="A80" t="inlineStr">
        <is>
          <t>ssl_industrial.hours_total</t>
        </is>
      </c>
      <c r="B80" t="inlineStr">
        <is>
          <t>ssl_industrial</t>
        </is>
      </c>
      <c r="C80" t="inlineStr">
        <is>
          <t>ssl_mensual</t>
        </is>
      </c>
      <c r="D80" t="inlineStr">
        <is>
          <t>Horas y accidentabilidad</t>
        </is>
      </c>
      <c r="E80" t="inlineStr">
        <is>
          <t>ssl</t>
        </is>
      </c>
      <c r="F80" t="inlineStr">
        <is>
          <t>hours_total</t>
        </is>
      </c>
      <c r="G80" t="inlineStr">
        <is>
          <t>Horas trabajadas desde el inicio de obras</t>
        </is>
      </c>
      <c r="H80" t="inlineStr">
        <is>
          <t>number</t>
        </is>
      </c>
      <c r="I80" t="inlineStr">
        <is>
          <t>h</t>
        </is>
      </c>
      <c r="J80" t="inlineStr">
        <is>
          <t>No</t>
        </is>
      </c>
      <c r="K80" t="inlineStr">
        <is>
          <t>No</t>
        </is>
      </c>
      <c r="L80" t="n">
        <v>3</v>
      </c>
      <c r="M80" t="inlineStr"/>
      <c r="N80" t="inlineStr"/>
      <c r="O80" t="inlineStr">
        <is>
          <t>No</t>
        </is>
      </c>
      <c r="P80" t="inlineStr">
        <is>
          <t>Industrial_SSL</t>
        </is>
      </c>
      <c r="Q80" t="inlineStr"/>
    </row>
    <row r="81">
      <c r="A81" t="inlineStr">
        <is>
          <t>ssl_industrial.safe_hours_start_date</t>
        </is>
      </c>
      <c r="B81" t="inlineStr">
        <is>
          <t>ssl_industrial</t>
        </is>
      </c>
      <c r="C81" t="inlineStr">
        <is>
          <t>ssl_mensual</t>
        </is>
      </c>
      <c r="D81" t="inlineStr">
        <is>
          <t>Horas y accidentabilidad</t>
        </is>
      </c>
      <c r="E81" t="inlineStr">
        <is>
          <t>ssl</t>
        </is>
      </c>
      <c r="F81" t="inlineStr">
        <is>
          <t>safe_hours_start_date</t>
        </is>
      </c>
      <c r="G81" t="inlineStr">
        <is>
          <t>Fecha de inicio del conteo de horas sin accidente</t>
        </is>
      </c>
      <c r="H81" t="inlineStr">
        <is>
          <t>date</t>
        </is>
      </c>
      <c r="I81" t="inlineStr"/>
      <c r="J81" t="inlineStr">
        <is>
          <t>Sí</t>
        </is>
      </c>
      <c r="K81" t="inlineStr">
        <is>
          <t>No</t>
        </is>
      </c>
      <c r="L81" t="n">
        <v>4</v>
      </c>
      <c r="M81" t="inlineStr"/>
      <c r="N81" t="inlineStr"/>
      <c r="O81" t="inlineStr">
        <is>
          <t>No</t>
        </is>
      </c>
      <c r="P81" t="inlineStr">
        <is>
          <t>Industrial_SSL</t>
        </is>
      </c>
      <c r="Q81" t="inlineStr"/>
    </row>
    <row r="82">
      <c r="A82" t="inlineStr">
        <is>
          <t>ssl_industrial.safe_hours</t>
        </is>
      </c>
      <c r="B82" t="inlineStr">
        <is>
          <t>ssl_industrial</t>
        </is>
      </c>
      <c r="C82" t="inlineStr">
        <is>
          <t>ssl_mensual</t>
        </is>
      </c>
      <c r="D82" t="inlineStr">
        <is>
          <t>Horas y accidentabilidad</t>
        </is>
      </c>
      <c r="E82" t="inlineStr">
        <is>
          <t>ssl</t>
        </is>
      </c>
      <c r="F82" t="inlineStr">
        <is>
          <t>safe_hours</t>
        </is>
      </c>
      <c r="G82" t="inlineStr">
        <is>
          <t>Horas trabajadas sin accidentes</t>
        </is>
      </c>
      <c r="H82" t="inlineStr">
        <is>
          <t>number</t>
        </is>
      </c>
      <c r="I82" t="inlineStr">
        <is>
          <t>h</t>
        </is>
      </c>
      <c r="J82" t="inlineStr">
        <is>
          <t>Sí</t>
        </is>
      </c>
      <c r="K82" t="inlineStr">
        <is>
          <t>No</t>
        </is>
      </c>
      <c r="L82" t="n">
        <v>5</v>
      </c>
      <c r="M82" t="inlineStr"/>
      <c r="N82" t="inlineStr"/>
      <c r="O82" t="inlineStr">
        <is>
          <t>No</t>
        </is>
      </c>
      <c r="P82" t="inlineStr">
        <is>
          <t>Industrial_SSL</t>
        </is>
      </c>
      <c r="Q82" t="inlineStr"/>
    </row>
    <row r="83">
      <c r="A83" t="inlineStr">
        <is>
          <t>ssl_industrial.accidents_lost_time</t>
        </is>
      </c>
      <c r="B83" t="inlineStr">
        <is>
          <t>ssl_industrial</t>
        </is>
      </c>
      <c r="C83" t="inlineStr">
        <is>
          <t>ssl_mensual</t>
        </is>
      </c>
      <c r="D83" t="inlineStr">
        <is>
          <t>Horas y accidentabilidad</t>
        </is>
      </c>
      <c r="E83" t="inlineStr">
        <is>
          <t>ssl</t>
        </is>
      </c>
      <c r="F83" t="inlineStr">
        <is>
          <t>accidents_lost_time</t>
        </is>
      </c>
      <c r="G83" t="inlineStr">
        <is>
          <t>Accidentes con baja laboral</t>
        </is>
      </c>
      <c r="H83" t="inlineStr">
        <is>
          <t>number</t>
        </is>
      </c>
      <c r="I83" t="inlineStr">
        <is>
          <t>casos</t>
        </is>
      </c>
      <c r="J83" t="inlineStr">
        <is>
          <t>Sí</t>
        </is>
      </c>
      <c r="K83" t="inlineStr">
        <is>
          <t>No</t>
        </is>
      </c>
      <c r="L83" t="n">
        <v>6</v>
      </c>
      <c r="M83" t="inlineStr"/>
      <c r="N83" t="inlineStr"/>
      <c r="O83" t="inlineStr">
        <is>
          <t>No</t>
        </is>
      </c>
      <c r="P83" t="inlineStr">
        <is>
          <t>Industrial_SSL</t>
        </is>
      </c>
      <c r="Q83" t="inlineStr"/>
    </row>
    <row r="84">
      <c r="A84" t="inlineStr">
        <is>
          <t>ssl_industrial.accidents_no_lost_time</t>
        </is>
      </c>
      <c r="B84" t="inlineStr">
        <is>
          <t>ssl_industrial</t>
        </is>
      </c>
      <c r="C84" t="inlineStr">
        <is>
          <t>ssl_mensual</t>
        </is>
      </c>
      <c r="D84" t="inlineStr">
        <is>
          <t>Horas y accidentabilidad</t>
        </is>
      </c>
      <c r="E84" t="inlineStr">
        <is>
          <t>ssl</t>
        </is>
      </c>
      <c r="F84" t="inlineStr">
        <is>
          <t>accidents_no_lost_time</t>
        </is>
      </c>
      <c r="G84" t="inlineStr">
        <is>
          <t>Accidentes sin baja laboral</t>
        </is>
      </c>
      <c r="H84" t="inlineStr">
        <is>
          <t>number</t>
        </is>
      </c>
      <c r="I84" t="inlineStr">
        <is>
          <t>casos</t>
        </is>
      </c>
      <c r="J84" t="inlineStr">
        <is>
          <t>Sí</t>
        </is>
      </c>
      <c r="K84" t="inlineStr">
        <is>
          <t>No</t>
        </is>
      </c>
      <c r="L84" t="n">
        <v>7</v>
      </c>
      <c r="M84" t="inlineStr"/>
      <c r="N84" t="inlineStr"/>
      <c r="O84" t="inlineStr">
        <is>
          <t>No</t>
        </is>
      </c>
      <c r="P84" t="inlineStr">
        <is>
          <t>Industrial_SSL</t>
        </is>
      </c>
      <c r="Q84" t="inlineStr"/>
    </row>
    <row r="85">
      <c r="A85" t="inlineStr">
        <is>
          <t>ssl_industrial.accident_rate_lost</t>
        </is>
      </c>
      <c r="B85" t="inlineStr">
        <is>
          <t>ssl_industrial</t>
        </is>
      </c>
      <c r="C85" t="inlineStr">
        <is>
          <t>ssl_mensual</t>
        </is>
      </c>
      <c r="D85" t="inlineStr">
        <is>
          <t>Horas y accidentabilidad</t>
        </is>
      </c>
      <c r="E85" t="inlineStr">
        <is>
          <t>ssl</t>
        </is>
      </c>
      <c r="F85" t="inlineStr">
        <is>
          <t>accident_rate_lost</t>
        </is>
      </c>
      <c r="G85" t="inlineStr">
        <is>
          <t>Tasa de accidentes con baja</t>
        </is>
      </c>
      <c r="H85" t="inlineStr">
        <is>
          <t>number</t>
        </is>
      </c>
      <c r="I85" t="inlineStr">
        <is>
          <t>x 1.000.000 h</t>
        </is>
      </c>
      <c r="J85" t="inlineStr">
        <is>
          <t>No</t>
        </is>
      </c>
      <c r="K85" t="inlineStr">
        <is>
          <t>No</t>
        </is>
      </c>
      <c r="L85" t="n">
        <v>8</v>
      </c>
      <c r="M85" t="inlineStr"/>
      <c r="N85" t="inlineStr"/>
      <c r="O85" t="inlineStr">
        <is>
          <t>No</t>
        </is>
      </c>
      <c r="P85" t="inlineStr">
        <is>
          <t>Industrial_SSL</t>
        </is>
      </c>
      <c r="Q85" t="inlineStr"/>
    </row>
    <row r="86">
      <c r="A86" t="inlineStr">
        <is>
          <t>ssl_industrial.accident_rate_total</t>
        </is>
      </c>
      <c r="B86" t="inlineStr">
        <is>
          <t>ssl_industrial</t>
        </is>
      </c>
      <c r="C86" t="inlineStr">
        <is>
          <t>ssl_mensual</t>
        </is>
      </c>
      <c r="D86" t="inlineStr">
        <is>
          <t>Horas y accidentabilidad</t>
        </is>
      </c>
      <c r="E86" t="inlineStr">
        <is>
          <t>ssl</t>
        </is>
      </c>
      <c r="F86" t="inlineStr">
        <is>
          <t>accident_rate_total</t>
        </is>
      </c>
      <c r="G86" t="inlineStr">
        <is>
          <t>Tasa de accidentes total</t>
        </is>
      </c>
      <c r="H86" t="inlineStr">
        <is>
          <t>number</t>
        </is>
      </c>
      <c r="I86" t="inlineStr">
        <is>
          <t>x 1.000.000 h</t>
        </is>
      </c>
      <c r="J86" t="inlineStr">
        <is>
          <t>No</t>
        </is>
      </c>
      <c r="K86" t="inlineStr">
        <is>
          <t>No</t>
        </is>
      </c>
      <c r="L86" t="n">
        <v>9</v>
      </c>
      <c r="M86" t="inlineStr"/>
      <c r="N86" t="inlineStr"/>
      <c r="O86" t="inlineStr">
        <is>
          <t>No</t>
        </is>
      </c>
      <c r="P86" t="inlineStr">
        <is>
          <t>Industrial_SSL</t>
        </is>
      </c>
      <c r="Q86" t="inlineStr"/>
    </row>
    <row r="87">
      <c r="A87" t="inlineStr">
        <is>
          <t>ssl_industrial.observations</t>
        </is>
      </c>
      <c r="B87" t="inlineStr">
        <is>
          <t>ssl_industrial</t>
        </is>
      </c>
      <c r="C87" t="inlineStr">
        <is>
          <t>ssl_mensual</t>
        </is>
      </c>
      <c r="D87" t="inlineStr">
        <is>
          <t>Horas y accidentabilidad</t>
        </is>
      </c>
      <c r="E87" t="inlineStr">
        <is>
          <t>ssl</t>
        </is>
      </c>
      <c r="F87" t="inlineStr">
        <is>
          <t>observations</t>
        </is>
      </c>
      <c r="G87" t="inlineStr">
        <is>
          <t>Observaciones del mes</t>
        </is>
      </c>
      <c r="H87" t="inlineStr">
        <is>
          <t>long_text</t>
        </is>
      </c>
      <c r="I87" t="inlineStr"/>
      <c r="J87" t="inlineStr">
        <is>
          <t>No</t>
        </is>
      </c>
      <c r="K87" t="inlineStr">
        <is>
          <t>No</t>
        </is>
      </c>
      <c r="L87" t="n">
        <v>10</v>
      </c>
      <c r="M87" t="inlineStr"/>
      <c r="N87" t="inlineStr"/>
      <c r="O87" t="inlineStr">
        <is>
          <t>No</t>
        </is>
      </c>
      <c r="P87" t="inlineStr">
        <is>
          <t>Industrial_SSL</t>
        </is>
      </c>
      <c r="Q87" t="inlineStr"/>
    </row>
    <row r="88">
      <c r="A88" t="inlineStr">
        <is>
          <t>talento_humano.female_pct</t>
        </is>
      </c>
      <c r="B88" t="inlineStr">
        <is>
          <t>talento_humano</t>
        </is>
      </c>
      <c r="C88" t="inlineStr">
        <is>
          <t>th_sexo_mensual</t>
        </is>
      </c>
      <c r="D88" t="inlineStr">
        <is>
          <t>Dotación por sexo</t>
        </is>
      </c>
      <c r="E88" t="inlineStr">
        <is>
          <t>th_sexo</t>
        </is>
      </c>
      <c r="F88" t="inlineStr">
        <is>
          <t>female_pct</t>
        </is>
      </c>
      <c r="G88" t="inlineStr">
        <is>
          <t>% femenino</t>
        </is>
      </c>
      <c r="H88" t="inlineStr">
        <is>
          <t>number</t>
        </is>
      </c>
      <c r="I88" t="inlineStr">
        <is>
          <t>%</t>
        </is>
      </c>
      <c r="J88" t="inlineStr">
        <is>
          <t>No</t>
        </is>
      </c>
      <c r="K88" t="inlineStr">
        <is>
          <t>No</t>
        </is>
      </c>
      <c r="L88" t="n">
        <v>7</v>
      </c>
      <c r="M88" t="inlineStr"/>
      <c r="N88" t="inlineStr"/>
      <c r="O88" t="inlineStr">
        <is>
          <t>No</t>
        </is>
      </c>
      <c r="P88" t="inlineStr">
        <is>
          <t>TalentoHumano_B;Industrial_Personas;Forestal_Personas</t>
        </is>
      </c>
      <c r="Q88" t="inlineStr"/>
    </row>
    <row r="89">
      <c r="A89" t="inlineStr">
        <is>
          <t>talento_humano.male_pct</t>
        </is>
      </c>
      <c r="B89" t="inlineStr">
        <is>
          <t>talento_humano</t>
        </is>
      </c>
      <c r="C89" t="inlineStr">
        <is>
          <t>th_sexo_mensual</t>
        </is>
      </c>
      <c r="D89" t="inlineStr">
        <is>
          <t>Dotación por sexo</t>
        </is>
      </c>
      <c r="E89" t="inlineStr">
        <is>
          <t>th_sexo</t>
        </is>
      </c>
      <c r="F89" t="inlineStr">
        <is>
          <t>male_pct</t>
        </is>
      </c>
      <c r="G89" t="inlineStr">
        <is>
          <t>% masculino</t>
        </is>
      </c>
      <c r="H89" t="inlineStr">
        <is>
          <t>number</t>
        </is>
      </c>
      <c r="I89" t="inlineStr">
        <is>
          <t>%</t>
        </is>
      </c>
      <c r="J89" t="inlineStr">
        <is>
          <t>No</t>
        </is>
      </c>
      <c r="K89" t="inlineStr">
        <is>
          <t>No</t>
        </is>
      </c>
      <c r="L89" t="n">
        <v>8</v>
      </c>
      <c r="M89" t="inlineStr"/>
      <c r="N89" t="inlineStr"/>
      <c r="O89" t="inlineStr">
        <is>
          <t>No</t>
        </is>
      </c>
      <c r="P89" t="inlineStr">
        <is>
          <t>TalentoHumano_B;Industrial_Personas;Forestal_Personas</t>
        </is>
      </c>
      <c r="Q89" t="inlineStr"/>
    </row>
    <row r="90">
      <c r="A90" t="inlineStr">
        <is>
          <t>talento_humano.headcount_total</t>
        </is>
      </c>
      <c r="B90" t="inlineStr">
        <is>
          <t>talento_humano</t>
        </is>
      </c>
      <c r="C90" t="inlineStr">
        <is>
          <t>th_area_mensual</t>
        </is>
      </c>
      <c r="D90" t="inlineStr">
        <is>
          <t>Dotación por área</t>
        </is>
      </c>
      <c r="E90" t="inlineStr">
        <is>
          <t>th_area</t>
        </is>
      </c>
      <c r="F90" t="inlineStr">
        <is>
          <t>headcount_total</t>
        </is>
      </c>
      <c r="G90" t="inlineStr">
        <is>
          <t>Personas contratadas</t>
        </is>
      </c>
      <c r="H90" t="inlineStr">
        <is>
          <t>number</t>
        </is>
      </c>
      <c r="I90" t="inlineStr">
        <is>
          <t>personas</t>
        </is>
      </c>
      <c r="J90" t="inlineStr">
        <is>
          <t>Sí</t>
        </is>
      </c>
      <c r="K90" t="inlineStr">
        <is>
          <t>No</t>
        </is>
      </c>
      <c r="L90" t="n">
        <v>1</v>
      </c>
      <c r="M90" t="inlineStr"/>
      <c r="N90" t="inlineStr">
        <is>
          <t>areas_paracel</t>
        </is>
      </c>
      <c r="O90" t="inlineStr">
        <is>
          <t>Sí</t>
        </is>
      </c>
      <c r="P90" t="inlineStr">
        <is>
          <t>TalentoHumano_A</t>
        </is>
      </c>
      <c r="Q90" t="inlineStr"/>
    </row>
    <row r="91">
      <c r="A91" t="inlineStr">
        <is>
          <t>talento_humano.male_count</t>
        </is>
      </c>
      <c r="B91" t="inlineStr">
        <is>
          <t>talento_humano</t>
        </is>
      </c>
      <c r="C91" t="inlineStr">
        <is>
          <t>th_area_mensual</t>
        </is>
      </c>
      <c r="D91" t="inlineStr">
        <is>
          <t>Dotación por área</t>
        </is>
      </c>
      <c r="E91" t="inlineStr">
        <is>
          <t>th_area</t>
        </is>
      </c>
      <c r="F91" t="inlineStr">
        <is>
          <t>male_count</t>
        </is>
      </c>
      <c r="G91" t="inlineStr">
        <is>
          <t>Hombres</t>
        </is>
      </c>
      <c r="H91" t="inlineStr">
        <is>
          <t>number</t>
        </is>
      </c>
      <c r="I91" t="inlineStr">
        <is>
          <t>personas</t>
        </is>
      </c>
      <c r="J91" t="inlineStr">
        <is>
          <t>Sí</t>
        </is>
      </c>
      <c r="K91" t="inlineStr">
        <is>
          <t>No</t>
        </is>
      </c>
      <c r="L91" t="n">
        <v>2</v>
      </c>
      <c r="M91" t="inlineStr"/>
      <c r="N91" t="inlineStr">
        <is>
          <t>areas_paracel</t>
        </is>
      </c>
      <c r="O91" t="inlineStr">
        <is>
          <t>Sí</t>
        </is>
      </c>
      <c r="P91" t="inlineStr">
        <is>
          <t>TalentoHumano_A</t>
        </is>
      </c>
      <c r="Q91" t="inlineStr"/>
    </row>
    <row r="92">
      <c r="A92" t="inlineStr">
        <is>
          <t>talento_humano.female_count</t>
        </is>
      </c>
      <c r="B92" t="inlineStr">
        <is>
          <t>talento_humano</t>
        </is>
      </c>
      <c r="C92" t="inlineStr">
        <is>
          <t>th_area_mensual</t>
        </is>
      </c>
      <c r="D92" t="inlineStr">
        <is>
          <t>Dotación por área</t>
        </is>
      </c>
      <c r="E92" t="inlineStr">
        <is>
          <t>th_area</t>
        </is>
      </c>
      <c r="F92" t="inlineStr">
        <is>
          <t>female_count</t>
        </is>
      </c>
      <c r="G92" t="inlineStr">
        <is>
          <t>Mujeres</t>
        </is>
      </c>
      <c r="H92" t="inlineStr">
        <is>
          <t>number</t>
        </is>
      </c>
      <c r="I92" t="inlineStr">
        <is>
          <t>personas</t>
        </is>
      </c>
      <c r="J92" t="inlineStr">
        <is>
          <t>Sí</t>
        </is>
      </c>
      <c r="K92" t="inlineStr">
        <is>
          <t>No</t>
        </is>
      </c>
      <c r="L92" t="n">
        <v>3</v>
      </c>
      <c r="M92" t="inlineStr"/>
      <c r="N92" t="inlineStr">
        <is>
          <t>areas_paracel</t>
        </is>
      </c>
      <c r="O92" t="inlineStr">
        <is>
          <t>Sí</t>
        </is>
      </c>
      <c r="P92" t="inlineStr">
        <is>
          <t>TalentoHumano_A</t>
        </is>
      </c>
      <c r="Q92" t="inlineStr"/>
    </row>
    <row r="93">
      <c r="A93" t="inlineStr">
        <is>
          <t>talento_humano.under30_count</t>
        </is>
      </c>
      <c r="B93" t="inlineStr">
        <is>
          <t>talento_humano</t>
        </is>
      </c>
      <c r="C93" t="inlineStr">
        <is>
          <t>th_area_mensual</t>
        </is>
      </c>
      <c r="D93" t="inlineStr">
        <is>
          <t>Dotación por área</t>
        </is>
      </c>
      <c r="E93" t="inlineStr">
        <is>
          <t>th_area</t>
        </is>
      </c>
      <c r="F93" t="inlineStr">
        <is>
          <t>under30_count</t>
        </is>
      </c>
      <c r="G93" t="inlineStr">
        <is>
          <t>Menores a 30 años</t>
        </is>
      </c>
      <c r="H93" t="inlineStr">
        <is>
          <t>number</t>
        </is>
      </c>
      <c r="I93" t="inlineStr">
        <is>
          <t>personas</t>
        </is>
      </c>
      <c r="J93" t="inlineStr">
        <is>
          <t>Sí</t>
        </is>
      </c>
      <c r="K93" t="inlineStr">
        <is>
          <t>No</t>
        </is>
      </c>
      <c r="L93" t="n">
        <v>4</v>
      </c>
      <c r="M93" t="inlineStr"/>
      <c r="N93" t="inlineStr">
        <is>
          <t>areas_paracel</t>
        </is>
      </c>
      <c r="O93" t="inlineStr">
        <is>
          <t>Sí</t>
        </is>
      </c>
      <c r="P93" t="inlineStr">
        <is>
          <t>TalentoHumano_A</t>
        </is>
      </c>
      <c r="Q93" t="inlineStr"/>
    </row>
    <row r="94">
      <c r="A94" t="inlineStr">
        <is>
          <t>talento_humano.age30_50_count</t>
        </is>
      </c>
      <c r="B94" t="inlineStr">
        <is>
          <t>talento_humano</t>
        </is>
      </c>
      <c r="C94" t="inlineStr">
        <is>
          <t>th_area_mensual</t>
        </is>
      </c>
      <c r="D94" t="inlineStr">
        <is>
          <t>Dotación por área</t>
        </is>
      </c>
      <c r="E94" t="inlineStr">
        <is>
          <t>th_area</t>
        </is>
      </c>
      <c r="F94" t="inlineStr">
        <is>
          <t>age30_50_count</t>
        </is>
      </c>
      <c r="G94" t="inlineStr">
        <is>
          <t>Entre 30 y 50 años</t>
        </is>
      </c>
      <c r="H94" t="inlineStr">
        <is>
          <t>number</t>
        </is>
      </c>
      <c r="I94" t="inlineStr">
        <is>
          <t>personas</t>
        </is>
      </c>
      <c r="J94" t="inlineStr">
        <is>
          <t>Sí</t>
        </is>
      </c>
      <c r="K94" t="inlineStr">
        <is>
          <t>No</t>
        </is>
      </c>
      <c r="L94" t="n">
        <v>5</v>
      </c>
      <c r="M94" t="inlineStr"/>
      <c r="N94" t="inlineStr">
        <is>
          <t>areas_paracel</t>
        </is>
      </c>
      <c r="O94" t="inlineStr">
        <is>
          <t>Sí</t>
        </is>
      </c>
      <c r="P94" t="inlineStr">
        <is>
          <t>TalentoHumano_A</t>
        </is>
      </c>
      <c r="Q94" t="inlineStr"/>
    </row>
    <row r="95">
      <c r="A95" t="inlineStr">
        <is>
          <t>talento_humano.over50_count</t>
        </is>
      </c>
      <c r="B95" t="inlineStr">
        <is>
          <t>talento_humano</t>
        </is>
      </c>
      <c r="C95" t="inlineStr">
        <is>
          <t>th_area_mensual</t>
        </is>
      </c>
      <c r="D95" t="inlineStr">
        <is>
          <t>Dotación por área</t>
        </is>
      </c>
      <c r="E95" t="inlineStr">
        <is>
          <t>th_area</t>
        </is>
      </c>
      <c r="F95" t="inlineStr">
        <is>
          <t>over50_count</t>
        </is>
      </c>
      <c r="G95" t="inlineStr">
        <is>
          <t>Mayores de 50 años</t>
        </is>
      </c>
      <c r="H95" t="inlineStr">
        <is>
          <t>number</t>
        </is>
      </c>
      <c r="I95" t="inlineStr">
        <is>
          <t>personas</t>
        </is>
      </c>
      <c r="J95" t="inlineStr">
        <is>
          <t>Sí</t>
        </is>
      </c>
      <c r="K95" t="inlineStr">
        <is>
          <t>No</t>
        </is>
      </c>
      <c r="L95" t="n">
        <v>6</v>
      </c>
      <c r="M95" t="inlineStr"/>
      <c r="N95" t="inlineStr">
        <is>
          <t>areas_paracel</t>
        </is>
      </c>
      <c r="O95" t="inlineStr">
        <is>
          <t>Sí</t>
        </is>
      </c>
      <c r="P95" t="inlineStr">
        <is>
          <t>TalentoHumano_A</t>
        </is>
      </c>
      <c r="Q9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14" customWidth="1" min="3" max="3"/>
    <col width="15" customWidth="1" min="4" max="4"/>
    <col width="24" customWidth="1" min="5" max="5"/>
    <col width="18" customWidth="1" min="6" max="6"/>
    <col width="28" customWidth="1" min="7" max="7"/>
    <col width="13" customWidth="1" min="8" max="8"/>
    <col width="21" customWidth="1" min="9" max="9"/>
    <col width="19" customWidth="1" min="10" max="10"/>
  </cols>
  <sheetData>
    <row r="1" ht="26" customHeight="1">
      <c r="A1" s="1" t="inlineStr">
        <is>
          <t>VALIDACIONES</t>
        </is>
      </c>
    </row>
    <row r="2"/>
    <row r="3" ht="24" customHeight="1">
      <c r="A3" s="42" t="inlineStr">
        <is>
          <t>roles</t>
        </is>
      </c>
      <c r="B3" s="42" t="inlineStr">
        <is>
          <t>si_no</t>
        </is>
      </c>
      <c r="C3" s="42" t="inlineStr">
        <is>
          <t>status_envio</t>
        </is>
      </c>
      <c r="D3" s="42" t="inlineStr">
        <is>
          <t>business_unit</t>
        </is>
      </c>
      <c r="E3" s="42" t="inlineStr">
        <is>
          <t>areas_paracel</t>
        </is>
      </c>
      <c r="F3" s="42" t="inlineStr">
        <is>
          <t>departamentos</t>
        </is>
      </c>
      <c r="G3" s="42" t="inlineStr">
        <is>
          <t>contractors</t>
        </is>
      </c>
      <c r="H3" s="42" t="inlineStr">
        <is>
          <t>land_states</t>
        </is>
      </c>
      <c r="I3" s="42" t="inlineStr">
        <is>
          <t>fomento_proveedores</t>
        </is>
      </c>
      <c r="J3" s="42" t="inlineStr">
        <is>
          <t>canales_digitales</t>
        </is>
      </c>
    </row>
    <row r="4">
      <c r="A4" t="inlineStr">
        <is>
          <t>admin</t>
        </is>
      </c>
      <c r="B4" t="inlineStr">
        <is>
          <t>Sí</t>
        </is>
      </c>
      <c r="C4" t="inlineStr">
        <is>
          <t>Borrador</t>
        </is>
      </c>
      <c r="D4" t="inlineStr">
        <is>
          <t>Industrial</t>
        </is>
      </c>
      <c r="E4" t="inlineStr">
        <is>
          <t>Talento Humano</t>
        </is>
      </c>
      <c r="F4" t="inlineStr">
        <is>
          <t xml:space="preserve">Asunción </t>
        </is>
      </c>
      <c r="G4" t="inlineStr">
        <is>
          <t>Forestadora del Este</t>
        </is>
      </c>
      <c r="H4" t="inlineStr">
        <is>
          <t>Finalizado</t>
        </is>
      </c>
      <c r="I4" t="inlineStr">
        <is>
          <t>GVASA</t>
        </is>
      </c>
      <c r="J4" t="inlineStr">
        <is>
          <t>Instagram</t>
        </is>
      </c>
    </row>
    <row r="5">
      <c r="A5" t="inlineStr">
        <is>
          <t>responsable</t>
        </is>
      </c>
      <c r="B5" t="inlineStr">
        <is>
          <t>No</t>
        </is>
      </c>
      <c r="C5" t="inlineStr">
        <is>
          <t>Pendiente</t>
        </is>
      </c>
      <c r="D5" t="inlineStr">
        <is>
          <t>Forestal</t>
        </is>
      </c>
      <c r="E5" t="inlineStr">
        <is>
          <t>Seguridad Corporativa</t>
        </is>
      </c>
      <c r="F5" t="inlineStr">
        <is>
          <t>Concepción</t>
        </is>
      </c>
      <c r="G5" t="inlineStr">
        <is>
          <t>Ranchales</t>
        </is>
      </c>
      <c r="H5" t="inlineStr">
        <is>
          <t>En proceso</t>
        </is>
      </c>
      <c r="I5" t="inlineStr">
        <is>
          <t>GENEFOR</t>
        </is>
      </c>
      <c r="J5" t="inlineStr">
        <is>
          <t>Facebook</t>
        </is>
      </c>
    </row>
    <row r="6">
      <c r="C6" t="inlineStr">
        <is>
          <t>Enviado</t>
        </is>
      </c>
      <c r="D6" t="inlineStr">
        <is>
          <t>Paracel</t>
        </is>
      </c>
      <c r="E6" t="inlineStr">
        <is>
          <t>Salud y Seguridad</t>
        </is>
      </c>
      <c r="F6" t="inlineStr">
        <is>
          <t>San Pedro</t>
        </is>
      </c>
      <c r="G6" t="inlineStr">
        <is>
          <t>Agroganadera Maria Eugenia</t>
        </is>
      </c>
      <c r="H6" t="inlineStr">
        <is>
          <t>En revisión</t>
        </is>
      </c>
      <c r="I6" t="inlineStr">
        <is>
          <t>MADEPLANT</t>
        </is>
      </c>
      <c r="J6" t="inlineStr">
        <is>
          <t>LinkedIn</t>
        </is>
      </c>
    </row>
    <row r="7">
      <c r="C7" t="inlineStr">
        <is>
          <t>Revisado</t>
        </is>
      </c>
      <c r="E7" t="inlineStr">
        <is>
          <t>Sustentabilidad Social</t>
        </is>
      </c>
      <c r="F7" t="inlineStr">
        <is>
          <t>Cordillera</t>
        </is>
      </c>
      <c r="G7" t="inlineStr">
        <is>
          <t>Tecnoforestal</t>
        </is>
      </c>
      <c r="I7" t="inlineStr">
        <is>
          <t>F.AZUL/F.ARANDU</t>
        </is>
      </c>
      <c r="J7" t="inlineStr">
        <is>
          <t>Sitio web</t>
        </is>
      </c>
    </row>
    <row r="8">
      <c r="E8" t="inlineStr">
        <is>
          <t>Comunicaciones</t>
        </is>
      </c>
      <c r="F8" t="inlineStr">
        <is>
          <t>Guairá</t>
        </is>
      </c>
      <c r="G8" t="inlineStr">
        <is>
          <t>Plansur</t>
        </is>
      </c>
      <c r="I8" t="inlineStr">
        <is>
          <t>PLANSUR</t>
        </is>
      </c>
    </row>
    <row r="9">
      <c r="E9" t="inlineStr">
        <is>
          <t>Compras</t>
        </is>
      </c>
      <c r="F9" t="inlineStr">
        <is>
          <t>Caaguazú</t>
        </is>
      </c>
      <c r="G9" t="inlineStr">
        <is>
          <t>Lusitana</t>
        </is>
      </c>
      <c r="I9" t="inlineStr">
        <is>
          <t>R5</t>
        </is>
      </c>
    </row>
    <row r="10">
      <c r="E10" t="inlineStr">
        <is>
          <t>Finanzas</t>
        </is>
      </c>
      <c r="F10" t="inlineStr">
        <is>
          <t>Caazapá</t>
        </is>
      </c>
      <c r="G10" t="inlineStr">
        <is>
          <t>OAC Emprendimientos</t>
        </is>
      </c>
      <c r="I10" t="inlineStr">
        <is>
          <t>SILCO</t>
        </is>
      </c>
    </row>
    <row r="11">
      <c r="E11" t="inlineStr">
        <is>
          <t>Tesorería</t>
        </is>
      </c>
      <c r="F11" t="inlineStr">
        <is>
          <t>Itapúa</t>
        </is>
      </c>
      <c r="G11" t="inlineStr">
        <is>
          <t>Rancho Forestal</t>
        </is>
      </c>
      <c r="I11" t="inlineStr">
        <is>
          <t>GNF</t>
        </is>
      </c>
    </row>
    <row r="12">
      <c r="E12" t="inlineStr">
        <is>
          <t xml:space="preserve">Contabilidad </t>
        </is>
      </c>
      <c r="F12" t="inlineStr">
        <is>
          <t>Misiones</t>
        </is>
      </c>
      <c r="I12" t="inlineStr">
        <is>
          <t>ROZA</t>
        </is>
      </c>
    </row>
    <row r="13">
      <c r="E13" t="inlineStr">
        <is>
          <t>Ambiental</t>
        </is>
      </c>
      <c r="F13" t="inlineStr">
        <is>
          <t>Paraguarí</t>
        </is>
      </c>
      <c r="I13" t="inlineStr">
        <is>
          <t>GREEN TEC</t>
        </is>
      </c>
    </row>
    <row r="14">
      <c r="E14" t="inlineStr">
        <is>
          <t>Forestal</t>
        </is>
      </c>
      <c r="F14" t="inlineStr">
        <is>
          <t>Alto Paraná</t>
        </is>
      </c>
      <c r="I14" t="inlineStr">
        <is>
          <t>DIEGO GARCIA</t>
        </is>
      </c>
    </row>
    <row r="15">
      <c r="E15" t="inlineStr">
        <is>
          <t>Logística</t>
        </is>
      </c>
      <c r="F15" t="inlineStr">
        <is>
          <t>Central</t>
        </is>
      </c>
      <c r="I15" t="inlineStr">
        <is>
          <t>LUIS VILLALBA</t>
        </is>
      </c>
    </row>
    <row r="16">
      <c r="E16" t="inlineStr">
        <is>
          <t>Tecnología</t>
        </is>
      </c>
      <c r="F16" t="inlineStr">
        <is>
          <t>Ñeembucú</t>
        </is>
      </c>
    </row>
    <row r="17">
      <c r="E17" t="inlineStr">
        <is>
          <t>Ingeniería</t>
        </is>
      </c>
      <c r="F17" t="inlineStr">
        <is>
          <t>Amambay</t>
        </is>
      </c>
    </row>
    <row r="18">
      <c r="F18" t="inlineStr">
        <is>
          <t>Canindeyú</t>
        </is>
      </c>
    </row>
    <row r="19">
      <c r="F19" t="inlineStr">
        <is>
          <t>Presidente Hayes</t>
        </is>
      </c>
    </row>
    <row r="20">
      <c r="F20" t="inlineStr">
        <is>
          <t>Boquerón</t>
        </is>
      </c>
    </row>
    <row r="21">
      <c r="F21" t="inlineStr">
        <is>
          <t>Alto Paraguay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26" customWidth="1" min="2" max="2"/>
    <col width="39" customWidth="1" min="3" max="3"/>
    <col width="40" customWidth="1" min="4" max="4"/>
  </cols>
  <sheetData>
    <row r="1" ht="26" customHeight="1">
      <c r="A1" s="1" t="inlineStr">
        <is>
          <t>MAPEO_ORIGINAL</t>
        </is>
      </c>
    </row>
    <row r="2"/>
    <row r="3"/>
    <row r="4">
      <c r="A4" s="8" t="inlineStr">
        <is>
          <t>source_sheet_original</t>
        </is>
      </c>
      <c r="B4" s="8" t="inlineStr">
        <is>
          <t>area_code</t>
        </is>
      </c>
      <c r="C4" s="8" t="inlineStr">
        <is>
          <t>area_name</t>
        </is>
      </c>
      <c r="D4" s="8" t="inlineStr">
        <is>
          <t>scope</t>
        </is>
      </c>
    </row>
    <row r="5">
      <c r="A5" s="9" t="inlineStr">
        <is>
          <t>Industrial_SSL</t>
        </is>
      </c>
      <c r="B5" s="5" t="inlineStr">
        <is>
          <t>ssl_industrial</t>
        </is>
      </c>
      <c r="C5" s="5" t="inlineStr">
        <is>
          <t>SSL Industrial</t>
        </is>
      </c>
      <c r="D5" s="5" t="inlineStr">
        <is>
          <t>Horas trabajadas y accidentabilidad industrial</t>
        </is>
      </c>
    </row>
    <row r="6">
      <c r="A6" s="9" t="inlineStr">
        <is>
          <t>Forestal_SSL</t>
        </is>
      </c>
      <c r="B6" s="5" t="inlineStr">
        <is>
          <t>ssl_forestal</t>
        </is>
      </c>
      <c r="C6" s="5" t="inlineStr">
        <is>
          <t>SSL Forestal</t>
        </is>
      </c>
      <c r="D6" s="5" t="inlineStr">
        <is>
          <t>Horas trabajadas y accidentabilidad forestal</t>
        </is>
      </c>
    </row>
    <row r="7">
      <c r="A7" s="9" t="inlineStr">
        <is>
          <t>Forestal_Oper;Forestal_Oper_Resum</t>
        </is>
      </c>
      <c r="B7" s="5" t="inlineStr">
        <is>
          <t>operaciones_forestales</t>
        </is>
      </c>
      <c r="C7" s="5" t="inlineStr">
        <is>
          <t>Operaciones Forestales</t>
        </is>
      </c>
      <c r="D7" s="5" t="inlineStr">
        <is>
          <t>Plantaciones, habilitación, área preparada, reforma y fertilización</t>
        </is>
      </c>
    </row>
    <row r="8">
      <c r="A8" s="9" t="inlineStr">
        <is>
          <t>Industrial_Oper</t>
        </is>
      </c>
      <c r="B8" s="5" t="inlineStr">
        <is>
          <t>operaciones_industriales</t>
        </is>
      </c>
      <c r="C8" s="5" t="inlineStr">
        <is>
          <t>Operaciones Industriales</t>
        </is>
      </c>
      <c r="D8" s="5" t="inlineStr">
        <is>
          <t>Avances operativos industriales</t>
        </is>
      </c>
    </row>
    <row r="9">
      <c r="A9" s="9" t="inlineStr">
        <is>
          <t>TalentoHumano_A;TalentoHumano_B;Industrial_Personas;Forestal_Personas</t>
        </is>
      </c>
      <c r="B9" s="5" t="inlineStr">
        <is>
          <t>talento_humano</t>
        </is>
      </c>
      <c r="C9" s="5" t="inlineStr">
        <is>
          <t>Talento Humano</t>
        </is>
      </c>
      <c r="D9" s="5" t="inlineStr">
        <is>
          <t>Dotación por sexo, edad, área y departamento</t>
        </is>
      </c>
    </row>
    <row r="10">
      <c r="A10" s="9" t="inlineStr">
        <is>
          <t>Finanzas</t>
        </is>
      </c>
      <c r="B10" s="5" t="inlineStr">
        <is>
          <t>finanzas</t>
        </is>
      </c>
      <c r="C10" s="5" t="inlineStr">
        <is>
          <t>Finanzas</t>
        </is>
      </c>
      <c r="D10" s="5" t="inlineStr">
        <is>
          <t>Tierras y ejecución presupuestaria</t>
        </is>
      </c>
    </row>
    <row r="11">
      <c r="A11" s="9" t="inlineStr">
        <is>
          <t>Comunicacion_y_Sust_Social</t>
        </is>
      </c>
      <c r="B11" s="5" t="inlineStr">
        <is>
          <t>comunicacion_social</t>
        </is>
      </c>
      <c r="C11" s="5" t="inlineStr">
        <is>
          <t>Comunicación y Sustentabilidad Social</t>
        </is>
      </c>
      <c r="D11" s="5" t="inlineStr">
        <is>
          <t>QCS, redes sociales, web y programas sociales</t>
        </is>
      </c>
    </row>
    <row r="12">
      <c r="A12" s="9" t="inlineStr">
        <is>
          <t>Compras</t>
        </is>
      </c>
      <c r="B12" s="5" t="inlineStr">
        <is>
          <t>compras</t>
        </is>
      </c>
      <c r="C12" s="5" t="inlineStr">
        <is>
          <t>Compras</t>
        </is>
      </c>
      <c r="D12" s="5" t="inlineStr">
        <is>
          <t>Descuentos, SLA y compras exceptuadas</t>
        </is>
      </c>
    </row>
    <row r="13">
      <c r="A13" s="9" t="inlineStr">
        <is>
          <t>Logística</t>
        </is>
      </c>
      <c r="B13" s="5" t="inlineStr">
        <is>
          <t>logistica</t>
        </is>
      </c>
      <c r="C13" s="5" t="inlineStr">
        <is>
          <t>Logística</t>
        </is>
      </c>
      <c r="D13" s="5" t="inlineStr">
        <is>
          <t>Permisos, servidumbres y consumo de flota</t>
        </is>
      </c>
    </row>
    <row r="14">
      <c r="A14" s="9" t="inlineStr">
        <is>
          <t>Ambiental</t>
        </is>
      </c>
      <c r="B14" s="5" t="inlineStr">
        <is>
          <t>ambiental</t>
        </is>
      </c>
      <c r="C14" s="5" t="inlineStr">
        <is>
          <t>Ambiental</t>
        </is>
      </c>
      <c r="D14" s="5" t="inlineStr">
        <is>
          <t>Permisos e inspecciones por contratista</t>
        </is>
      </c>
    </row>
    <row r="15">
      <c r="A15" t="inlineStr">
        <is>
          <t>Forestal_Propias&amp;Fomento</t>
        </is>
      </c>
      <c r="B15" t="inlineStr">
        <is>
          <t>forestal_fomento</t>
        </is>
      </c>
      <c r="C15" t="inlineStr">
        <is>
          <t>Forestal Fomento</t>
        </is>
      </c>
      <c r="D15" t="inlineStr">
        <is>
          <t>Contratos y ejecución por proveedor, lista editable de proveedores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  <col width="16" customWidth="1" min="8" max="8"/>
    <col width="18" customWidth="1" min="9" max="9"/>
    <col width="18" customWidth="1" min="10" max="10"/>
    <col width="26" customWidth="1" min="11" max="11"/>
    <col width="14" customWidth="1" min="12" max="12"/>
    <col width="14" customWidth="1" min="13" max="13"/>
    <col width="18" customWidth="1" min="14" max="14"/>
    <col width="14" customWidth="1" min="15" max="15"/>
    <col width="10" customWidth="1" min="16" max="16"/>
    <col width="12" customWidth="1" min="17" max="17"/>
    <col width="22" customWidth="1" min="18" max="18"/>
    <col width="18" customWidth="1" min="19" max="19"/>
    <col width="18" customWidth="1" min="20" max="20"/>
    <col width="18" customWidth="1" min="21" max="21"/>
  </cols>
  <sheetData>
    <row r="1" ht="26" customHeight="1">
      <c r="A1" s="1" t="inlineStr">
        <is>
          <t>RESPUESTAS</t>
        </is>
      </c>
    </row>
    <row r="4">
      <c r="A4" s="8" t="inlineStr">
        <is>
          <t>response_id</t>
        </is>
      </c>
      <c r="B4" s="8" t="inlineStr">
        <is>
          <t>submission_id</t>
        </is>
      </c>
      <c r="C4" s="8" t="inlineStr">
        <is>
          <t>period_key</t>
        </is>
      </c>
      <c r="D4" s="8" t="inlineStr">
        <is>
          <t>period_date</t>
        </is>
      </c>
      <c r="E4" s="8" t="inlineStr">
        <is>
          <t>area_code</t>
        </is>
      </c>
      <c r="F4" s="8" t="inlineStr">
        <is>
          <t>form_code</t>
        </is>
      </c>
      <c r="G4" s="8" t="inlineStr">
        <is>
          <t>section</t>
        </is>
      </c>
      <c r="H4" s="8" t="inlineStr">
        <is>
          <t>group_key</t>
        </is>
      </c>
      <c r="I4" s="8" t="inlineStr">
        <is>
          <t>row_key</t>
        </is>
      </c>
      <c r="J4" s="8" t="inlineStr">
        <is>
          <t>question_id</t>
        </is>
      </c>
      <c r="K4" s="8" t="inlineStr">
        <is>
          <t>question_label</t>
        </is>
      </c>
      <c r="L4" s="8" t="inlineStr">
        <is>
          <t>value_type</t>
        </is>
      </c>
      <c r="M4" s="8" t="inlineStr">
        <is>
          <t>value_num</t>
        </is>
      </c>
      <c r="N4" s="8" t="inlineStr">
        <is>
          <t>value_text</t>
        </is>
      </c>
      <c r="O4" s="8" t="inlineStr">
        <is>
          <t>value_date</t>
        </is>
      </c>
      <c r="P4" s="8" t="inlineStr">
        <is>
          <t>value_bool</t>
        </is>
      </c>
      <c r="Q4" s="8" t="inlineStr">
        <is>
          <t>unit</t>
        </is>
      </c>
      <c r="R4" s="8" t="inlineStr">
        <is>
          <t>observation</t>
        </is>
      </c>
      <c r="S4" s="8" t="inlineStr">
        <is>
          <t>user_name</t>
        </is>
      </c>
      <c r="T4" s="8" t="inlineStr">
        <is>
          <t>submitted_at</t>
        </is>
      </c>
      <c r="U4" s="8" t="inlineStr">
        <is>
          <t>source_channel</t>
        </is>
      </c>
    </row>
    <row r="5">
      <c r="A5" s="9" t="inlineStr">
        <is>
          <t>4a3af2c4-fcb</t>
        </is>
      </c>
      <c r="B5" s="5" t="inlineStr">
        <is>
          <t>SUB-compras-2026-01</t>
        </is>
      </c>
      <c r="C5" s="5" t="inlineStr">
        <is>
          <t>2026-01</t>
        </is>
      </c>
      <c r="D5" s="27" t="n">
        <v>46023</v>
      </c>
      <c r="E5" s="5" t="inlineStr">
        <is>
          <t>compras</t>
        </is>
      </c>
      <c r="F5" s="5" t="inlineStr">
        <is>
          <t>compras_mensual</t>
        </is>
      </c>
      <c r="G5" s="5" t="inlineStr">
        <is>
          <t>Compras</t>
        </is>
      </c>
      <c r="H5" s="5" t="inlineStr">
        <is>
          <t>compras</t>
        </is>
      </c>
      <c r="I5" s="5" t="inlineStr">
        <is>
          <t>general</t>
        </is>
      </c>
      <c r="J5" s="5" t="inlineStr">
        <is>
          <t>compras.descuento_forestal_usd</t>
        </is>
      </c>
      <c r="K5" s="5" t="inlineStr">
        <is>
          <t>descuento_forestal_usd</t>
        </is>
      </c>
      <c r="L5" s="5" t="inlineStr">
        <is>
          <t>number</t>
        </is>
      </c>
      <c r="M5" s="11" t="n">
        <v>897499</v>
      </c>
      <c r="N5" s="5" t="n"/>
      <c r="O5" s="5" t="n"/>
      <c r="P5" s="5" t="n"/>
      <c r="Q5" s="5" t="inlineStr">
        <is>
          <t>USD</t>
        </is>
      </c>
      <c r="R5" s="5" t="n"/>
      <c r="S5" s="5" t="n"/>
      <c r="T5" s="5" t="n"/>
      <c r="U5" s="5" t="inlineStr">
        <is>
          <t>Migración inicial</t>
        </is>
      </c>
    </row>
    <row r="6">
      <c r="A6" s="9" t="inlineStr">
        <is>
          <t>97951933-968</t>
        </is>
      </c>
      <c r="B6" s="5" t="inlineStr">
        <is>
          <t>SUB-compras-2026-01</t>
        </is>
      </c>
      <c r="C6" s="5" t="inlineStr">
        <is>
          <t>2026-01</t>
        </is>
      </c>
      <c r="D6" s="27" t="n">
        <v>46023</v>
      </c>
      <c r="E6" s="5" t="inlineStr">
        <is>
          <t>compras</t>
        </is>
      </c>
      <c r="F6" s="5" t="inlineStr">
        <is>
          <t>compras_mensual</t>
        </is>
      </c>
      <c r="G6" s="5" t="inlineStr">
        <is>
          <t>Compras</t>
        </is>
      </c>
      <c r="H6" s="5" t="inlineStr">
        <is>
          <t>compras</t>
        </is>
      </c>
      <c r="I6" s="5" t="inlineStr">
        <is>
          <t>general</t>
        </is>
      </c>
      <c r="J6" s="5" t="inlineStr">
        <is>
          <t>compras.descuento_forestal_pct</t>
        </is>
      </c>
      <c r="K6" s="5" t="inlineStr">
        <is>
          <t>descuento_forestal_pct</t>
        </is>
      </c>
      <c r="L6" s="5" t="inlineStr">
        <is>
          <t>number</t>
        </is>
      </c>
      <c r="M6" s="12" t="n">
        <v>2.13</v>
      </c>
      <c r="N6" s="5" t="n"/>
      <c r="O6" s="5" t="n"/>
      <c r="P6" s="5" t="n"/>
      <c r="Q6" s="5" t="inlineStr">
        <is>
          <t>%</t>
        </is>
      </c>
      <c r="R6" s="5" t="n"/>
      <c r="S6" s="5" t="n"/>
      <c r="T6" s="5" t="n"/>
      <c r="U6" s="5" t="inlineStr">
        <is>
          <t>Migración inicial</t>
        </is>
      </c>
    </row>
    <row r="7">
      <c r="A7" s="9" t="inlineStr">
        <is>
          <t>4d15b1bc-cb4</t>
        </is>
      </c>
      <c r="B7" s="5" t="inlineStr">
        <is>
          <t>SUB-compras-2026-01</t>
        </is>
      </c>
      <c r="C7" s="5" t="inlineStr">
        <is>
          <t>2026-01</t>
        </is>
      </c>
      <c r="D7" s="27" t="n">
        <v>46023</v>
      </c>
      <c r="E7" s="5" t="inlineStr">
        <is>
          <t>compras</t>
        </is>
      </c>
      <c r="F7" s="5" t="inlineStr">
        <is>
          <t>compras_mensual</t>
        </is>
      </c>
      <c r="G7" s="5" t="inlineStr">
        <is>
          <t>Compras</t>
        </is>
      </c>
      <c r="H7" s="5" t="inlineStr">
        <is>
          <t>compras</t>
        </is>
      </c>
      <c r="I7" s="5" t="inlineStr">
        <is>
          <t>general</t>
        </is>
      </c>
      <c r="J7" s="5" t="inlineStr">
        <is>
          <t>compras.descuento_corporativo_usd</t>
        </is>
      </c>
      <c r="K7" s="5" t="inlineStr">
        <is>
          <t>descuento_corporativo_usd</t>
        </is>
      </c>
      <c r="L7" s="5" t="inlineStr">
        <is>
          <t>number</t>
        </is>
      </c>
      <c r="M7" s="11" t="n">
        <v>494466</v>
      </c>
      <c r="N7" s="5" t="n"/>
      <c r="O7" s="5" t="n"/>
      <c r="P7" s="5" t="n"/>
      <c r="Q7" s="5" t="inlineStr">
        <is>
          <t>USD</t>
        </is>
      </c>
      <c r="R7" s="5" t="n"/>
      <c r="S7" s="5" t="n"/>
      <c r="T7" s="5" t="n"/>
      <c r="U7" s="5" t="inlineStr">
        <is>
          <t>Migración inicial</t>
        </is>
      </c>
    </row>
    <row r="8">
      <c r="A8" s="9" t="inlineStr">
        <is>
          <t>ae4226b0-1b4</t>
        </is>
      </c>
      <c r="B8" s="5" t="inlineStr">
        <is>
          <t>SUB-compras-2026-01</t>
        </is>
      </c>
      <c r="C8" s="5" t="inlineStr">
        <is>
          <t>2026-01</t>
        </is>
      </c>
      <c r="D8" s="27" t="n">
        <v>46023</v>
      </c>
      <c r="E8" s="5" t="inlineStr">
        <is>
          <t>compras</t>
        </is>
      </c>
      <c r="F8" s="5" t="inlineStr">
        <is>
          <t>compras_mensual</t>
        </is>
      </c>
      <c r="G8" s="5" t="inlineStr">
        <is>
          <t>Compras</t>
        </is>
      </c>
      <c r="H8" s="5" t="inlineStr">
        <is>
          <t>compras</t>
        </is>
      </c>
      <c r="I8" s="5" t="inlineStr">
        <is>
          <t>general</t>
        </is>
      </c>
      <c r="J8" s="5" t="inlineStr">
        <is>
          <t>compras.descuento_corporativo_pct</t>
        </is>
      </c>
      <c r="K8" s="5" t="inlineStr">
        <is>
          <t>descuento_corporativo_pct</t>
        </is>
      </c>
      <c r="L8" s="5" t="inlineStr">
        <is>
          <t>number</t>
        </is>
      </c>
      <c r="M8" s="12" t="n">
        <v>3.61</v>
      </c>
      <c r="N8" s="5" t="n"/>
      <c r="O8" s="5" t="n"/>
      <c r="P8" s="5" t="n"/>
      <c r="Q8" s="5" t="inlineStr">
        <is>
          <t>%</t>
        </is>
      </c>
      <c r="R8" s="5" t="n"/>
      <c r="S8" s="5" t="n"/>
      <c r="T8" s="5" t="n"/>
      <c r="U8" s="5" t="inlineStr">
        <is>
          <t>Migración inicial</t>
        </is>
      </c>
    </row>
    <row r="9">
      <c r="A9" s="9" t="inlineStr">
        <is>
          <t>691cfff0-803</t>
        </is>
      </c>
      <c r="B9" s="5" t="inlineStr">
        <is>
          <t>SUB-compras-2026-01</t>
        </is>
      </c>
      <c r="C9" s="5" t="inlineStr">
        <is>
          <t>2026-01</t>
        </is>
      </c>
      <c r="D9" s="27" t="n">
        <v>46023</v>
      </c>
      <c r="E9" s="5" t="inlineStr">
        <is>
          <t>compras</t>
        </is>
      </c>
      <c r="F9" s="5" t="inlineStr">
        <is>
          <t>compras_mensual</t>
        </is>
      </c>
      <c r="G9" s="5" t="inlineStr">
        <is>
          <t>Compras</t>
        </is>
      </c>
      <c r="H9" s="5" t="inlineStr">
        <is>
          <t>compras</t>
        </is>
      </c>
      <c r="I9" s="5" t="inlineStr">
        <is>
          <t>general</t>
        </is>
      </c>
      <c r="J9" s="5" t="inlineStr">
        <is>
          <t>compras.descuento_general_usd</t>
        </is>
      </c>
      <c r="K9" s="5" t="inlineStr">
        <is>
          <t>descuento_general_usd</t>
        </is>
      </c>
      <c r="L9" s="5" t="inlineStr">
        <is>
          <t>number</t>
        </is>
      </c>
      <c r="M9" s="11" t="n">
        <v>1391965</v>
      </c>
      <c r="N9" s="5" t="n"/>
      <c r="O9" s="5" t="n"/>
      <c r="P9" s="5" t="n"/>
      <c r="Q9" s="5" t="inlineStr">
        <is>
          <t>USD</t>
        </is>
      </c>
      <c r="R9" s="5" t="n"/>
      <c r="S9" s="5" t="n"/>
      <c r="T9" s="5" t="n"/>
      <c r="U9" s="5" t="inlineStr">
        <is>
          <t>Migración inicial</t>
        </is>
      </c>
    </row>
    <row r="10">
      <c r="A10" s="9" t="inlineStr">
        <is>
          <t>1f71b44a-8a2</t>
        </is>
      </c>
      <c r="B10" s="5" t="inlineStr">
        <is>
          <t>SUB-compras-2026-01</t>
        </is>
      </c>
      <c r="C10" s="5" t="inlineStr">
        <is>
          <t>2026-01</t>
        </is>
      </c>
      <c r="D10" s="27" t="n">
        <v>46023</v>
      </c>
      <c r="E10" s="5" t="inlineStr">
        <is>
          <t>compras</t>
        </is>
      </c>
      <c r="F10" s="5" t="inlineStr">
        <is>
          <t>compras_mensual</t>
        </is>
      </c>
      <c r="G10" s="5" t="inlineStr">
        <is>
          <t>Compras</t>
        </is>
      </c>
      <c r="H10" s="5" t="inlineStr">
        <is>
          <t>compras</t>
        </is>
      </c>
      <c r="I10" s="5" t="inlineStr">
        <is>
          <t>general</t>
        </is>
      </c>
      <c r="J10" s="5" t="inlineStr">
        <is>
          <t>compras.descuento_general_pct</t>
        </is>
      </c>
      <c r="K10" s="5" t="inlineStr">
        <is>
          <t>descuento_general_pct</t>
        </is>
      </c>
      <c r="L10" s="5" t="inlineStr">
        <is>
          <t>number</t>
        </is>
      </c>
      <c r="M10" s="12" t="n">
        <v>2.66</v>
      </c>
      <c r="N10" s="5" t="n"/>
      <c r="O10" s="5" t="n"/>
      <c r="P10" s="5" t="n"/>
      <c r="Q10" s="5" t="inlineStr">
        <is>
          <t>%</t>
        </is>
      </c>
      <c r="R10" s="5" t="n"/>
      <c r="S10" s="5" t="n"/>
      <c r="T10" s="5" t="n"/>
      <c r="U10" s="5" t="inlineStr">
        <is>
          <t>Migración inicial</t>
        </is>
      </c>
    </row>
    <row r="11">
      <c r="A11" s="9" t="inlineStr">
        <is>
          <t>23bd5128-76e</t>
        </is>
      </c>
      <c r="B11" s="5" t="inlineStr">
        <is>
          <t>SUB-compras-2026-01</t>
        </is>
      </c>
      <c r="C11" s="5" t="inlineStr">
        <is>
          <t>2026-01</t>
        </is>
      </c>
      <c r="D11" s="27" t="n">
        <v>46023</v>
      </c>
      <c r="E11" s="5" t="inlineStr">
        <is>
          <t>compras</t>
        </is>
      </c>
      <c r="F11" s="5" t="inlineStr">
        <is>
          <t>compras_mensual</t>
        </is>
      </c>
      <c r="G11" s="5" t="inlineStr">
        <is>
          <t>Compras</t>
        </is>
      </c>
      <c r="H11" s="5" t="inlineStr">
        <is>
          <t>compras</t>
        </is>
      </c>
      <c r="I11" s="5" t="inlineStr">
        <is>
          <t>general</t>
        </is>
      </c>
      <c r="J11" s="5" t="inlineStr">
        <is>
          <t>compras.ordenes_emitidas</t>
        </is>
      </c>
      <c r="K11" s="5" t="inlineStr">
        <is>
          <t>ordenes_emitidas</t>
        </is>
      </c>
      <c r="L11" s="5" t="inlineStr">
        <is>
          <t>number</t>
        </is>
      </c>
      <c r="M11" s="11" t="n">
        <v>399</v>
      </c>
      <c r="N11" s="5" t="n"/>
      <c r="O11" s="5" t="n"/>
      <c r="P11" s="5" t="n"/>
      <c r="Q11" s="5" t="inlineStr">
        <is>
          <t>cantidad</t>
        </is>
      </c>
      <c r="R11" s="5" t="n"/>
      <c r="S11" s="5" t="n"/>
      <c r="T11" s="5" t="n"/>
      <c r="U11" s="5" t="inlineStr">
        <is>
          <t>Migración inicial</t>
        </is>
      </c>
    </row>
    <row r="12">
      <c r="A12" s="9" t="inlineStr">
        <is>
          <t>701b136a-d5e</t>
        </is>
      </c>
      <c r="B12" s="5" t="inlineStr">
        <is>
          <t>SUB-compras-2026-01</t>
        </is>
      </c>
      <c r="C12" s="5" t="inlineStr">
        <is>
          <t>2026-01</t>
        </is>
      </c>
      <c r="D12" s="27" t="n">
        <v>46023</v>
      </c>
      <c r="E12" s="5" t="inlineStr">
        <is>
          <t>compras</t>
        </is>
      </c>
      <c r="F12" s="5" t="inlineStr">
        <is>
          <t>compras_mensual</t>
        </is>
      </c>
      <c r="G12" s="5" t="inlineStr">
        <is>
          <t>Compras</t>
        </is>
      </c>
      <c r="H12" s="5" t="inlineStr">
        <is>
          <t>compras</t>
        </is>
      </c>
      <c r="I12" s="5" t="inlineStr">
        <is>
          <t>general</t>
        </is>
      </c>
      <c r="J12" s="5" t="inlineStr">
        <is>
          <t>compras.sla_100_pct</t>
        </is>
      </c>
      <c r="K12" s="5" t="inlineStr">
        <is>
          <t>sla_100_pct</t>
        </is>
      </c>
      <c r="L12" s="5" t="inlineStr">
        <is>
          <t>number</t>
        </is>
      </c>
      <c r="M12" s="11" t="n">
        <v>100</v>
      </c>
      <c r="N12" s="5" t="n"/>
      <c r="O12" s="5" t="n"/>
      <c r="P12" s="5" t="n"/>
      <c r="Q12" s="5" t="inlineStr">
        <is>
          <t>%</t>
        </is>
      </c>
      <c r="R12" s="5" t="n"/>
      <c r="S12" s="5" t="n"/>
      <c r="T12" s="5" t="n"/>
      <c r="U12" s="5" t="inlineStr">
        <is>
          <t>Migración inicial</t>
        </is>
      </c>
    </row>
    <row r="13">
      <c r="A13" s="9" t="inlineStr">
        <is>
          <t>1b50517c-817</t>
        </is>
      </c>
      <c r="B13" s="5" t="inlineStr">
        <is>
          <t>SUB-compras-2026-01</t>
        </is>
      </c>
      <c r="C13" s="5" t="inlineStr">
        <is>
          <t>2026-01</t>
        </is>
      </c>
      <c r="D13" s="27" t="n">
        <v>46023</v>
      </c>
      <c r="E13" s="5" t="inlineStr">
        <is>
          <t>compras</t>
        </is>
      </c>
      <c r="F13" s="5" t="inlineStr">
        <is>
          <t>compras_mensual</t>
        </is>
      </c>
      <c r="G13" s="5" t="inlineStr">
        <is>
          <t>Compras</t>
        </is>
      </c>
      <c r="H13" s="5" t="inlineStr">
        <is>
          <t>compras</t>
        </is>
      </c>
      <c r="I13" s="5" t="inlineStr">
        <is>
          <t>general</t>
        </is>
      </c>
      <c r="J13" s="5" t="inlineStr">
        <is>
          <t>compras.exceptuadas_ef_pct</t>
        </is>
      </c>
      <c r="K13" s="5" t="inlineStr">
        <is>
          <t>exceptuadas_ef_pct</t>
        </is>
      </c>
      <c r="L13" s="5" t="inlineStr">
        <is>
          <t>number</t>
        </is>
      </c>
      <c r="M13" s="12" t="n">
        <v>7.61</v>
      </c>
      <c r="N13" s="5" t="n"/>
      <c r="O13" s="5" t="n"/>
      <c r="P13" s="5" t="n"/>
      <c r="Q13" s="5" t="inlineStr">
        <is>
          <t>%</t>
        </is>
      </c>
      <c r="R13" s="5" t="n"/>
      <c r="S13" s="5" t="n"/>
      <c r="T13" s="5" t="n"/>
      <c r="U13" s="5" t="inlineStr">
        <is>
          <t>Migración inicial</t>
        </is>
      </c>
    </row>
    <row r="14">
      <c r="A14" s="9" t="inlineStr">
        <is>
          <t>a599dd95-902</t>
        </is>
      </c>
      <c r="B14" s="5" t="inlineStr">
        <is>
          <t>SUB-compras-2026-01</t>
        </is>
      </c>
      <c r="C14" s="5" t="inlineStr">
        <is>
          <t>2026-01</t>
        </is>
      </c>
      <c r="D14" s="27" t="n">
        <v>46023</v>
      </c>
      <c r="E14" s="5" t="inlineStr">
        <is>
          <t>compras</t>
        </is>
      </c>
      <c r="F14" s="5" t="inlineStr">
        <is>
          <t>compras_mensual</t>
        </is>
      </c>
      <c r="G14" s="5" t="inlineStr">
        <is>
          <t>Compras</t>
        </is>
      </c>
      <c r="H14" s="5" t="inlineStr">
        <is>
          <t>compras</t>
        </is>
      </c>
      <c r="I14" s="5" t="inlineStr">
        <is>
          <t>general</t>
        </is>
      </c>
      <c r="J14" s="5" t="inlineStr">
        <is>
          <t>compras.valor_total_compras_usd</t>
        </is>
      </c>
      <c r="K14" s="5" t="inlineStr">
        <is>
          <t>valor_total_compras_usd</t>
        </is>
      </c>
      <c r="L14" s="5" t="inlineStr">
        <is>
          <t>number</t>
        </is>
      </c>
      <c r="M14" s="11" t="n">
        <v>1506557</v>
      </c>
      <c r="N14" s="5" t="n"/>
      <c r="O14" s="5" t="n"/>
      <c r="P14" s="5" t="n"/>
      <c r="Q14" s="5" t="inlineStr">
        <is>
          <t>USD</t>
        </is>
      </c>
      <c r="R14" s="5" t="n"/>
      <c r="S14" s="5" t="n"/>
      <c r="T14" s="5" t="n"/>
      <c r="U14" s="5" t="inlineStr">
        <is>
          <t>Migración inicial</t>
        </is>
      </c>
    </row>
    <row r="15">
      <c r="A15" s="9" t="inlineStr">
        <is>
          <t>83e1ea52-133</t>
        </is>
      </c>
      <c r="B15" s="5" t="inlineStr">
        <is>
          <t>SUB-compras-2026-02</t>
        </is>
      </c>
      <c r="C15" s="5" t="inlineStr">
        <is>
          <t>2026-02</t>
        </is>
      </c>
      <c r="D15" s="27" t="n">
        <v>46054</v>
      </c>
      <c r="E15" s="5" t="inlineStr">
        <is>
          <t>compras</t>
        </is>
      </c>
      <c r="F15" s="5" t="inlineStr">
        <is>
          <t>compras_mensual</t>
        </is>
      </c>
      <c r="G15" s="5" t="inlineStr">
        <is>
          <t>Compras</t>
        </is>
      </c>
      <c r="H15" s="5" t="inlineStr">
        <is>
          <t>compras</t>
        </is>
      </c>
      <c r="I15" s="5" t="inlineStr">
        <is>
          <t>general</t>
        </is>
      </c>
      <c r="J15" s="5" t="inlineStr">
        <is>
          <t>compras.descuento_forestal_usd</t>
        </is>
      </c>
      <c r="K15" s="5" t="inlineStr">
        <is>
          <t>descuento_forestal_usd</t>
        </is>
      </c>
      <c r="L15" s="5" t="inlineStr">
        <is>
          <t>number</t>
        </is>
      </c>
      <c r="M15" s="11" t="n">
        <v>1303869</v>
      </c>
      <c r="N15" s="5" t="n"/>
      <c r="O15" s="5" t="n"/>
      <c r="P15" s="5" t="n"/>
      <c r="Q15" s="5" t="inlineStr">
        <is>
          <t>USD</t>
        </is>
      </c>
      <c r="R15" s="5" t="n"/>
      <c r="S15" s="5" t="n"/>
      <c r="T15" s="5" t="n"/>
      <c r="U15" s="5" t="inlineStr">
        <is>
          <t>Migración inicial</t>
        </is>
      </c>
    </row>
    <row r="16">
      <c r="A16" s="9" t="inlineStr">
        <is>
          <t>322da6c1-68e</t>
        </is>
      </c>
      <c r="B16" s="5" t="inlineStr">
        <is>
          <t>SUB-compras-2026-02</t>
        </is>
      </c>
      <c r="C16" s="5" t="inlineStr">
        <is>
          <t>2026-02</t>
        </is>
      </c>
      <c r="D16" s="27" t="n">
        <v>46054</v>
      </c>
      <c r="E16" s="5" t="inlineStr">
        <is>
          <t>compras</t>
        </is>
      </c>
      <c r="F16" s="5" t="inlineStr">
        <is>
          <t>compras_mensual</t>
        </is>
      </c>
      <c r="G16" s="5" t="inlineStr">
        <is>
          <t>Compras</t>
        </is>
      </c>
      <c r="H16" s="5" t="inlineStr">
        <is>
          <t>compras</t>
        </is>
      </c>
      <c r="I16" s="5" t="inlineStr">
        <is>
          <t>general</t>
        </is>
      </c>
      <c r="J16" s="5" t="inlineStr">
        <is>
          <t>compras.descuento_forestal_pct</t>
        </is>
      </c>
      <c r="K16" s="5" t="inlineStr">
        <is>
          <t>descuento_forestal_pct</t>
        </is>
      </c>
      <c r="L16" s="5" t="inlineStr">
        <is>
          <t>number</t>
        </is>
      </c>
      <c r="M16" s="12" t="n">
        <v>1.66</v>
      </c>
      <c r="N16" s="5" t="n"/>
      <c r="O16" s="5" t="n"/>
      <c r="P16" s="5" t="n"/>
      <c r="Q16" s="5" t="inlineStr">
        <is>
          <t>%</t>
        </is>
      </c>
      <c r="R16" s="5" t="n"/>
      <c r="S16" s="5" t="n"/>
      <c r="T16" s="5" t="n"/>
      <c r="U16" s="5" t="inlineStr">
        <is>
          <t>Migración inicial</t>
        </is>
      </c>
    </row>
    <row r="17">
      <c r="A17" s="9" t="inlineStr">
        <is>
          <t>831d3495-8d8</t>
        </is>
      </c>
      <c r="B17" s="5" t="inlineStr">
        <is>
          <t>SUB-compras-2026-02</t>
        </is>
      </c>
      <c r="C17" s="5" t="inlineStr">
        <is>
          <t>2026-02</t>
        </is>
      </c>
      <c r="D17" s="27" t="n">
        <v>46054</v>
      </c>
      <c r="E17" s="5" t="inlineStr">
        <is>
          <t>compras</t>
        </is>
      </c>
      <c r="F17" s="5" t="inlineStr">
        <is>
          <t>compras_mensual</t>
        </is>
      </c>
      <c r="G17" s="5" t="inlineStr">
        <is>
          <t>Compras</t>
        </is>
      </c>
      <c r="H17" s="5" t="inlineStr">
        <is>
          <t>compras</t>
        </is>
      </c>
      <c r="I17" s="5" t="inlineStr">
        <is>
          <t>general</t>
        </is>
      </c>
      <c r="J17" s="5" t="inlineStr">
        <is>
          <t>compras.descuento_corporativo_usd</t>
        </is>
      </c>
      <c r="K17" s="5" t="inlineStr">
        <is>
          <t>descuento_corporativo_usd</t>
        </is>
      </c>
      <c r="L17" s="5" t="inlineStr">
        <is>
          <t>number</t>
        </is>
      </c>
      <c r="M17" s="11" t="n">
        <v>957540</v>
      </c>
      <c r="N17" s="5" t="n"/>
      <c r="O17" s="5" t="n"/>
      <c r="P17" s="5" t="n"/>
      <c r="Q17" s="5" t="inlineStr">
        <is>
          <t>USD</t>
        </is>
      </c>
      <c r="R17" s="5" t="n"/>
      <c r="S17" s="5" t="n"/>
      <c r="T17" s="5" t="n"/>
      <c r="U17" s="5" t="inlineStr">
        <is>
          <t>Migración inicial</t>
        </is>
      </c>
    </row>
    <row r="18">
      <c r="A18" s="9" t="inlineStr">
        <is>
          <t>30bc4441-3ee</t>
        </is>
      </c>
      <c r="B18" s="5" t="inlineStr">
        <is>
          <t>SUB-compras-2026-02</t>
        </is>
      </c>
      <c r="C18" s="5" t="inlineStr">
        <is>
          <t>2026-02</t>
        </is>
      </c>
      <c r="D18" s="27" t="n">
        <v>46054</v>
      </c>
      <c r="E18" s="5" t="inlineStr">
        <is>
          <t>compras</t>
        </is>
      </c>
      <c r="F18" s="5" t="inlineStr">
        <is>
          <t>compras_mensual</t>
        </is>
      </c>
      <c r="G18" s="5" t="inlineStr">
        <is>
          <t>Compras</t>
        </is>
      </c>
      <c r="H18" s="5" t="inlineStr">
        <is>
          <t>compras</t>
        </is>
      </c>
      <c r="I18" s="5" t="inlineStr">
        <is>
          <t>general</t>
        </is>
      </c>
      <c r="J18" s="5" t="inlineStr">
        <is>
          <t>compras.descuento_corporativo_pct</t>
        </is>
      </c>
      <c r="K18" s="5" t="inlineStr">
        <is>
          <t>descuento_corporativo_pct</t>
        </is>
      </c>
      <c r="L18" s="5" t="inlineStr">
        <is>
          <t>number</t>
        </is>
      </c>
      <c r="M18" s="12" t="n">
        <v>2.96</v>
      </c>
      <c r="N18" s="5" t="n"/>
      <c r="O18" s="5" t="n"/>
      <c r="P18" s="5" t="n"/>
      <c r="Q18" s="5" t="inlineStr">
        <is>
          <t>%</t>
        </is>
      </c>
      <c r="R18" s="5" t="n"/>
      <c r="S18" s="5" t="n"/>
      <c r="T18" s="5" t="n"/>
      <c r="U18" s="5" t="inlineStr">
        <is>
          <t>Migración inicial</t>
        </is>
      </c>
    </row>
    <row r="19">
      <c r="A19" s="9" t="inlineStr">
        <is>
          <t>76e07d83-0a6</t>
        </is>
      </c>
      <c r="B19" s="5" t="inlineStr">
        <is>
          <t>SUB-compras-2026-02</t>
        </is>
      </c>
      <c r="C19" s="5" t="inlineStr">
        <is>
          <t>2026-02</t>
        </is>
      </c>
      <c r="D19" s="27" t="n">
        <v>46054</v>
      </c>
      <c r="E19" s="5" t="inlineStr">
        <is>
          <t>compras</t>
        </is>
      </c>
      <c r="F19" s="5" t="inlineStr">
        <is>
          <t>compras_mensual</t>
        </is>
      </c>
      <c r="G19" s="5" t="inlineStr">
        <is>
          <t>Compras</t>
        </is>
      </c>
      <c r="H19" s="5" t="inlineStr">
        <is>
          <t>compras</t>
        </is>
      </c>
      <c r="I19" s="5" t="inlineStr">
        <is>
          <t>general</t>
        </is>
      </c>
      <c r="J19" s="5" t="inlineStr">
        <is>
          <t>compras.descuento_general_usd</t>
        </is>
      </c>
      <c r="K19" s="5" t="inlineStr">
        <is>
          <t>descuento_general_usd</t>
        </is>
      </c>
      <c r="L19" s="5" t="inlineStr">
        <is>
          <t>number</t>
        </is>
      </c>
      <c r="M19" s="11" t="n">
        <v>2261409</v>
      </c>
      <c r="N19" s="5" t="n"/>
      <c r="O19" s="5" t="n"/>
      <c r="P19" s="5" t="n"/>
      <c r="Q19" s="5" t="inlineStr">
        <is>
          <t>USD</t>
        </is>
      </c>
      <c r="R19" s="5" t="n"/>
      <c r="S19" s="5" t="n"/>
      <c r="T19" s="5" t="n"/>
      <c r="U19" s="5" t="inlineStr">
        <is>
          <t>Migración inicial</t>
        </is>
      </c>
    </row>
    <row r="20">
      <c r="A20" s="9" t="inlineStr">
        <is>
          <t>a5e35dd7-0e5</t>
        </is>
      </c>
      <c r="B20" s="5" t="inlineStr">
        <is>
          <t>SUB-compras-2026-02</t>
        </is>
      </c>
      <c r="C20" s="5" t="inlineStr">
        <is>
          <t>2026-02</t>
        </is>
      </c>
      <c r="D20" s="27" t="n">
        <v>46054</v>
      </c>
      <c r="E20" s="5" t="inlineStr">
        <is>
          <t>compras</t>
        </is>
      </c>
      <c r="F20" s="5" t="inlineStr">
        <is>
          <t>compras_mensual</t>
        </is>
      </c>
      <c r="G20" s="5" t="inlineStr">
        <is>
          <t>Compras</t>
        </is>
      </c>
      <c r="H20" s="5" t="inlineStr">
        <is>
          <t>compras</t>
        </is>
      </c>
      <c r="I20" s="5" t="inlineStr">
        <is>
          <t>general</t>
        </is>
      </c>
      <c r="J20" s="5" t="inlineStr">
        <is>
          <t>compras.descuento_general_pct</t>
        </is>
      </c>
      <c r="K20" s="5" t="inlineStr">
        <is>
          <t>descuento_general_pct</t>
        </is>
      </c>
      <c r="L20" s="5" t="inlineStr">
        <is>
          <t>number</t>
        </is>
      </c>
      <c r="M20" s="12" t="n">
        <v>2.21</v>
      </c>
      <c r="N20" s="5" t="n"/>
      <c r="O20" s="5" t="n"/>
      <c r="P20" s="5" t="n"/>
      <c r="Q20" s="5" t="inlineStr">
        <is>
          <t>%</t>
        </is>
      </c>
      <c r="R20" s="5" t="n"/>
      <c r="S20" s="5" t="n"/>
      <c r="T20" s="5" t="n"/>
      <c r="U20" s="5" t="inlineStr">
        <is>
          <t>Migración inicial</t>
        </is>
      </c>
    </row>
    <row r="21">
      <c r="A21" s="9" t="inlineStr">
        <is>
          <t>2b5085e7-5f5</t>
        </is>
      </c>
      <c r="B21" s="5" t="inlineStr">
        <is>
          <t>SUB-compras-2026-02</t>
        </is>
      </c>
      <c r="C21" s="5" t="inlineStr">
        <is>
          <t>2026-02</t>
        </is>
      </c>
      <c r="D21" s="27" t="n">
        <v>46054</v>
      </c>
      <c r="E21" s="5" t="inlineStr">
        <is>
          <t>compras</t>
        </is>
      </c>
      <c r="F21" s="5" t="inlineStr">
        <is>
          <t>compras_mensual</t>
        </is>
      </c>
      <c r="G21" s="5" t="inlineStr">
        <is>
          <t>Compras</t>
        </is>
      </c>
      <c r="H21" s="5" t="inlineStr">
        <is>
          <t>compras</t>
        </is>
      </c>
      <c r="I21" s="5" t="inlineStr">
        <is>
          <t>general</t>
        </is>
      </c>
      <c r="J21" s="5" t="inlineStr">
        <is>
          <t>compras.ordenes_emitidas</t>
        </is>
      </c>
      <c r="K21" s="5" t="inlineStr">
        <is>
          <t>ordenes_emitidas</t>
        </is>
      </c>
      <c r="L21" s="5" t="inlineStr">
        <is>
          <t>number</t>
        </is>
      </c>
      <c r="M21" s="11" t="n">
        <v>231</v>
      </c>
      <c r="N21" s="5" t="n"/>
      <c r="O21" s="5" t="n"/>
      <c r="P21" s="5" t="n"/>
      <c r="Q21" s="5" t="inlineStr">
        <is>
          <t>cantidad</t>
        </is>
      </c>
      <c r="R21" s="5" t="n"/>
      <c r="S21" s="5" t="n"/>
      <c r="T21" s="5" t="n"/>
      <c r="U21" s="5" t="inlineStr">
        <is>
          <t>Migración inicial</t>
        </is>
      </c>
    </row>
    <row r="22">
      <c r="A22" s="9" t="inlineStr">
        <is>
          <t>31d6c501-81d</t>
        </is>
      </c>
      <c r="B22" s="5" t="inlineStr">
        <is>
          <t>SUB-compras-2026-02</t>
        </is>
      </c>
      <c r="C22" s="5" t="inlineStr">
        <is>
          <t>2026-02</t>
        </is>
      </c>
      <c r="D22" s="27" t="n">
        <v>46054</v>
      </c>
      <c r="E22" s="5" t="inlineStr">
        <is>
          <t>compras</t>
        </is>
      </c>
      <c r="F22" s="5" t="inlineStr">
        <is>
          <t>compras_mensual</t>
        </is>
      </c>
      <c r="G22" s="5" t="inlineStr">
        <is>
          <t>Compras</t>
        </is>
      </c>
      <c r="H22" s="5" t="inlineStr">
        <is>
          <t>compras</t>
        </is>
      </c>
      <c r="I22" s="5" t="inlineStr">
        <is>
          <t>general</t>
        </is>
      </c>
      <c r="J22" s="5" t="inlineStr">
        <is>
          <t>compras.sla_100_pct</t>
        </is>
      </c>
      <c r="K22" s="5" t="inlineStr">
        <is>
          <t>sla_100_pct</t>
        </is>
      </c>
      <c r="L22" s="5" t="inlineStr">
        <is>
          <t>number</t>
        </is>
      </c>
      <c r="M22" s="12" t="n">
        <v>95.8</v>
      </c>
      <c r="N22" s="5" t="n"/>
      <c r="O22" s="5" t="n"/>
      <c r="P22" s="5" t="n"/>
      <c r="Q22" s="5" t="inlineStr">
        <is>
          <t>%</t>
        </is>
      </c>
      <c r="R22" s="5" t="n"/>
      <c r="S22" s="5" t="n"/>
      <c r="T22" s="5" t="n"/>
      <c r="U22" s="5" t="inlineStr">
        <is>
          <t>Migración inicial</t>
        </is>
      </c>
    </row>
    <row r="23">
      <c r="A23" s="9" t="inlineStr">
        <is>
          <t>694c068c-aa3</t>
        </is>
      </c>
      <c r="B23" s="5" t="inlineStr">
        <is>
          <t>SUB-compras-2026-02</t>
        </is>
      </c>
      <c r="C23" s="5" t="inlineStr">
        <is>
          <t>2026-02</t>
        </is>
      </c>
      <c r="D23" s="27" t="n">
        <v>46054</v>
      </c>
      <c r="E23" s="5" t="inlineStr">
        <is>
          <t>compras</t>
        </is>
      </c>
      <c r="F23" s="5" t="inlineStr">
        <is>
          <t>compras_mensual</t>
        </is>
      </c>
      <c r="G23" s="5" t="inlineStr">
        <is>
          <t>Compras</t>
        </is>
      </c>
      <c r="H23" s="5" t="inlineStr">
        <is>
          <t>compras</t>
        </is>
      </c>
      <c r="I23" s="5" t="inlineStr">
        <is>
          <t>general</t>
        </is>
      </c>
      <c r="J23" s="5" t="inlineStr">
        <is>
          <t>compras.exceptuadas_ef_pct</t>
        </is>
      </c>
      <c r="K23" s="5" t="inlineStr">
        <is>
          <t>exceptuadas_ef_pct</t>
        </is>
      </c>
      <c r="L23" s="5" t="inlineStr">
        <is>
          <t>number</t>
        </is>
      </c>
      <c r="M23" s="12" t="n">
        <v>5.21</v>
      </c>
      <c r="N23" s="5" t="n"/>
      <c r="O23" s="5" t="n"/>
      <c r="P23" s="5" t="n"/>
      <c r="Q23" s="5" t="inlineStr">
        <is>
          <t>%</t>
        </is>
      </c>
      <c r="R23" s="5" t="n"/>
      <c r="S23" s="5" t="n"/>
      <c r="T23" s="5" t="n"/>
      <c r="U23" s="5" t="inlineStr">
        <is>
          <t>Migración inicial</t>
        </is>
      </c>
    </row>
    <row r="24">
      <c r="A24" s="9" t="inlineStr">
        <is>
          <t>3a40e7f2-0b8</t>
        </is>
      </c>
      <c r="B24" s="5" t="inlineStr">
        <is>
          <t>SUB-compras-2026-02</t>
        </is>
      </c>
      <c r="C24" s="5" t="inlineStr">
        <is>
          <t>2026-02</t>
        </is>
      </c>
      <c r="D24" s="27" t="n">
        <v>46054</v>
      </c>
      <c r="E24" s="5" t="inlineStr">
        <is>
          <t>compras</t>
        </is>
      </c>
      <c r="F24" s="5" t="inlineStr">
        <is>
          <t>compras_mensual</t>
        </is>
      </c>
      <c r="G24" s="5" t="inlineStr">
        <is>
          <t>Compras</t>
        </is>
      </c>
      <c r="H24" s="5" t="inlineStr">
        <is>
          <t>compras</t>
        </is>
      </c>
      <c r="I24" s="5" t="inlineStr">
        <is>
          <t>general</t>
        </is>
      </c>
      <c r="J24" s="5" t="inlineStr">
        <is>
          <t>compras.valor_total_compras_usd</t>
        </is>
      </c>
      <c r="K24" s="5" t="inlineStr">
        <is>
          <t>valor_total_compras_usd</t>
        </is>
      </c>
      <c r="L24" s="5" t="inlineStr">
        <is>
          <t>number</t>
        </is>
      </c>
      <c r="M24" s="12" t="n">
        <v>124188.6</v>
      </c>
      <c r="N24" s="5" t="n"/>
      <c r="O24" s="5" t="n"/>
      <c r="P24" s="5" t="n"/>
      <c r="Q24" s="5" t="inlineStr">
        <is>
          <t>USD</t>
        </is>
      </c>
      <c r="R24" s="5" t="n"/>
      <c r="S24" s="5" t="n"/>
      <c r="T24" s="5" t="n"/>
      <c r="U24" s="5" t="inlineStr">
        <is>
          <t>Migración inicial</t>
        </is>
      </c>
    </row>
    <row r="25">
      <c r="A25" s="9" t="inlineStr">
        <is>
          <t>72b3275f-ec3</t>
        </is>
      </c>
      <c r="B25" s="5" t="inlineStr">
        <is>
          <t>SUB-compras-2026-05</t>
        </is>
      </c>
      <c r="C25" s="5" t="inlineStr">
        <is>
          <t>2026-05</t>
        </is>
      </c>
      <c r="D25" s="27" t="n">
        <v>46143</v>
      </c>
      <c r="E25" s="5" t="inlineStr">
        <is>
          <t>compras</t>
        </is>
      </c>
      <c r="F25" s="5" t="inlineStr">
        <is>
          <t>compras_mensual</t>
        </is>
      </c>
      <c r="G25" s="5" t="inlineStr">
        <is>
          <t>Compras</t>
        </is>
      </c>
      <c r="H25" s="5" t="inlineStr">
        <is>
          <t>compras</t>
        </is>
      </c>
      <c r="I25" s="5" t="inlineStr">
        <is>
          <t>general</t>
        </is>
      </c>
      <c r="J25" s="5" t="inlineStr">
        <is>
          <t>compras.descuento_forestal_usd</t>
        </is>
      </c>
      <c r="K25" s="5" t="inlineStr">
        <is>
          <t>descuento_forestal_usd</t>
        </is>
      </c>
      <c r="L25" s="5" t="inlineStr">
        <is>
          <t>number</t>
        </is>
      </c>
      <c r="M25" s="11" t="n">
        <v>1303869</v>
      </c>
      <c r="N25" s="5" t="n"/>
      <c r="O25" s="5" t="n"/>
      <c r="P25" s="5" t="n"/>
      <c r="Q25" s="5" t="inlineStr">
        <is>
          <t>USD</t>
        </is>
      </c>
      <c r="R25" s="5" t="n"/>
      <c r="S25" s="5" t="n"/>
      <c r="T25" s="5" t="n"/>
      <c r="U25" s="5" t="inlineStr">
        <is>
          <t>Migración inicial</t>
        </is>
      </c>
    </row>
    <row r="26">
      <c r="A26" s="9" t="inlineStr">
        <is>
          <t>6a142192-c38</t>
        </is>
      </c>
      <c r="B26" s="5" t="inlineStr">
        <is>
          <t>SUB-compras-2026-05</t>
        </is>
      </c>
      <c r="C26" s="5" t="inlineStr">
        <is>
          <t>2026-05</t>
        </is>
      </c>
      <c r="D26" s="27" t="n">
        <v>46143</v>
      </c>
      <c r="E26" s="5" t="inlineStr">
        <is>
          <t>compras</t>
        </is>
      </c>
      <c r="F26" s="5" t="inlineStr">
        <is>
          <t>compras_mensual</t>
        </is>
      </c>
      <c r="G26" s="5" t="inlineStr">
        <is>
          <t>Compras</t>
        </is>
      </c>
      <c r="H26" s="5" t="inlineStr">
        <is>
          <t>compras</t>
        </is>
      </c>
      <c r="I26" s="5" t="inlineStr">
        <is>
          <t>general</t>
        </is>
      </c>
      <c r="J26" s="5" t="inlineStr">
        <is>
          <t>compras.descuento_forestal_pct</t>
        </is>
      </c>
      <c r="K26" s="5" t="inlineStr">
        <is>
          <t>descuento_forestal_pct</t>
        </is>
      </c>
      <c r="L26" s="5" t="inlineStr">
        <is>
          <t>number</t>
        </is>
      </c>
      <c r="M26" s="5" t="n"/>
      <c r="N26" s="5" t="n"/>
      <c r="O26" s="5" t="n"/>
      <c r="P26" s="5" t="n"/>
      <c r="Q26" s="5" t="inlineStr">
        <is>
          <t>%</t>
        </is>
      </c>
      <c r="R26" s="5" t="n"/>
      <c r="S26" s="5" t="n"/>
      <c r="T26" s="5" t="n"/>
      <c r="U26" s="5" t="inlineStr">
        <is>
          <t>Migración inicial</t>
        </is>
      </c>
    </row>
    <row r="27">
      <c r="A27" s="9" t="inlineStr">
        <is>
          <t>89422063-a31</t>
        </is>
      </c>
      <c r="B27" s="5" t="inlineStr">
        <is>
          <t>SUB-finanzas-2026-01</t>
        </is>
      </c>
      <c r="C27" s="5" t="inlineStr">
        <is>
          <t>2026-01</t>
        </is>
      </c>
      <c r="D27" s="27" t="n">
        <v>46023</v>
      </c>
      <c r="E27" s="5" t="inlineStr">
        <is>
          <t>finanzas</t>
        </is>
      </c>
      <c r="F27" s="5" t="inlineStr">
        <is>
          <t>fin_presupuesto</t>
        </is>
      </c>
      <c r="G27" s="5" t="inlineStr">
        <is>
          <t>Ejecución presupuestaria</t>
        </is>
      </c>
      <c r="H27" s="5" t="inlineStr">
        <is>
          <t>fin_presupuesto</t>
        </is>
      </c>
      <c r="I27" s="5" t="inlineStr">
        <is>
          <t>general</t>
        </is>
      </c>
      <c r="J27" s="5" t="inlineStr">
        <is>
          <t>finanzas.opex_capex_b26_ytd</t>
        </is>
      </c>
      <c r="K27" s="5" t="inlineStr">
        <is>
          <t>OPEX + CAPEX B26 YTD</t>
        </is>
      </c>
      <c r="L27" s="5" t="inlineStr">
        <is>
          <t>number</t>
        </is>
      </c>
      <c r="M27" s="11" t="n">
        <v>7371476</v>
      </c>
      <c r="N27" s="5" t="n"/>
      <c r="O27" s="5" t="n"/>
      <c r="P27" s="5" t="n"/>
      <c r="Q27" s="5" t="inlineStr">
        <is>
          <t>USD</t>
        </is>
      </c>
      <c r="R27" s="5" t="n"/>
      <c r="S27" s="5" t="n"/>
      <c r="T27" s="5" t="n"/>
      <c r="U27" s="5" t="inlineStr">
        <is>
          <t>Migración inicial</t>
        </is>
      </c>
    </row>
    <row r="28">
      <c r="A28" s="9" t="inlineStr">
        <is>
          <t>622f9c45-617</t>
        </is>
      </c>
      <c r="B28" s="5" t="inlineStr">
        <is>
          <t>SUB-finanzas-2026-01</t>
        </is>
      </c>
      <c r="C28" s="5" t="inlineStr">
        <is>
          <t>2026-01</t>
        </is>
      </c>
      <c r="D28" s="27" t="n">
        <v>46023</v>
      </c>
      <c r="E28" s="5" t="inlineStr">
        <is>
          <t>finanzas</t>
        </is>
      </c>
      <c r="F28" s="5" t="inlineStr">
        <is>
          <t>fin_presupuesto</t>
        </is>
      </c>
      <c r="G28" s="5" t="inlineStr">
        <is>
          <t>Ejecución presupuestaria</t>
        </is>
      </c>
      <c r="H28" s="5" t="inlineStr">
        <is>
          <t>fin_presupuesto</t>
        </is>
      </c>
      <c r="I28" s="5" t="inlineStr">
        <is>
          <t>general</t>
        </is>
      </c>
      <c r="J28" s="5" t="inlineStr">
        <is>
          <t>finanzas.opex_capex_a26_ytd</t>
        </is>
      </c>
      <c r="K28" s="5" t="inlineStr">
        <is>
          <t>OPEX + CAPEX A26+ YTD</t>
        </is>
      </c>
      <c r="L28" s="5" t="inlineStr">
        <is>
          <t>number</t>
        </is>
      </c>
      <c r="M28" s="11" t="n">
        <v>63296074</v>
      </c>
      <c r="N28" s="5" t="n"/>
      <c r="O28" s="5" t="n"/>
      <c r="P28" s="5" t="n"/>
      <c r="Q28" s="5" t="inlineStr">
        <is>
          <t>USD</t>
        </is>
      </c>
      <c r="R28" s="5" t="n"/>
      <c r="S28" s="5" t="n"/>
      <c r="T28" s="5" t="n"/>
      <c r="U28" s="5" t="inlineStr">
        <is>
          <t>Migración inicial</t>
        </is>
      </c>
    </row>
    <row r="29">
      <c r="A29" s="9" t="inlineStr">
        <is>
          <t>1048cf47-d1c</t>
        </is>
      </c>
      <c r="B29" s="5" t="inlineStr">
        <is>
          <t>SUB-finanzas-2026-01</t>
        </is>
      </c>
      <c r="C29" s="5" t="inlineStr">
        <is>
          <t>2026-01</t>
        </is>
      </c>
      <c r="D29" s="27" t="n">
        <v>46023</v>
      </c>
      <c r="E29" s="5" t="inlineStr">
        <is>
          <t>finanzas</t>
        </is>
      </c>
      <c r="F29" s="5" t="inlineStr">
        <is>
          <t>fin_presupuesto</t>
        </is>
      </c>
      <c r="G29" s="5" t="inlineStr">
        <is>
          <t>Ejecución presupuestaria</t>
        </is>
      </c>
      <c r="H29" s="5" t="inlineStr">
        <is>
          <t>fin_presupuesto</t>
        </is>
      </c>
      <c r="I29" s="5" t="inlineStr">
        <is>
          <t>general</t>
        </is>
      </c>
      <c r="J29" s="5" t="inlineStr">
        <is>
          <t>finanzas.opex_capex_var_usd_ytd</t>
        </is>
      </c>
      <c r="K29" s="5" t="inlineStr">
        <is>
          <t>OPEX + CAPEX VAR USD YTD</t>
        </is>
      </c>
      <c r="L29" s="5" t="inlineStr">
        <is>
          <t>number</t>
        </is>
      </c>
      <c r="M29" s="11" t="n">
        <v>-1041870</v>
      </c>
      <c r="N29" s="5" t="n"/>
      <c r="O29" s="5" t="n"/>
      <c r="P29" s="5" t="n"/>
      <c r="Q29" s="5" t="inlineStr">
        <is>
          <t>USD</t>
        </is>
      </c>
      <c r="R29" s="5" t="n"/>
      <c r="S29" s="5" t="n"/>
      <c r="T29" s="5" t="n"/>
      <c r="U29" s="5" t="inlineStr">
        <is>
          <t>Migración inicial</t>
        </is>
      </c>
    </row>
    <row r="30">
      <c r="A30" s="9" t="inlineStr">
        <is>
          <t>2c917803-564</t>
        </is>
      </c>
      <c r="B30" s="5" t="inlineStr">
        <is>
          <t>SUB-finanzas-2026-01</t>
        </is>
      </c>
      <c r="C30" s="5" t="inlineStr">
        <is>
          <t>2026-01</t>
        </is>
      </c>
      <c r="D30" s="27" t="n">
        <v>46023</v>
      </c>
      <c r="E30" s="5" t="inlineStr">
        <is>
          <t>finanzas</t>
        </is>
      </c>
      <c r="F30" s="5" t="inlineStr">
        <is>
          <t>fin_presupuesto</t>
        </is>
      </c>
      <c r="G30" s="5" t="inlineStr">
        <is>
          <t>Ejecución presupuestaria</t>
        </is>
      </c>
      <c r="H30" s="5" t="inlineStr">
        <is>
          <t>fin_presupuesto</t>
        </is>
      </c>
      <c r="I30" s="5" t="inlineStr">
        <is>
          <t>general</t>
        </is>
      </c>
      <c r="J30" s="5" t="inlineStr">
        <is>
          <t>finanzas.opex_capex_var_pct_ytd</t>
        </is>
      </c>
      <c r="K30" s="5" t="inlineStr">
        <is>
          <t>OPEX + CAPEX VAR % YTD</t>
        </is>
      </c>
      <c r="L30" s="5" t="inlineStr">
        <is>
          <t>number</t>
        </is>
      </c>
      <c r="M30" s="11" t="n">
        <v>-14</v>
      </c>
      <c r="N30" s="5" t="n"/>
      <c r="O30" s="5" t="n"/>
      <c r="P30" s="5" t="n"/>
      <c r="Q30" s="5" t="inlineStr">
        <is>
          <t>%</t>
        </is>
      </c>
      <c r="R30" s="5" t="n"/>
      <c r="S30" s="5" t="n"/>
      <c r="T30" s="5" t="n"/>
      <c r="U30" s="5" t="inlineStr">
        <is>
          <t>Migración inicial</t>
        </is>
      </c>
    </row>
    <row r="31">
      <c r="A31" s="9" t="inlineStr">
        <is>
          <t>7f30c493-37e</t>
        </is>
      </c>
      <c r="B31" s="5" t="inlineStr">
        <is>
          <t>SUB-ssl_industrial-2025-01</t>
        </is>
      </c>
      <c r="C31" s="5" t="inlineStr">
        <is>
          <t>2025-01</t>
        </is>
      </c>
      <c r="D31" s="27" t="n">
        <v>45658</v>
      </c>
      <c r="E31" s="5" t="inlineStr">
        <is>
          <t>ssl_industrial</t>
        </is>
      </c>
      <c r="F31" s="5" t="inlineStr">
        <is>
          <t>ssl_mensual</t>
        </is>
      </c>
      <c r="G31" s="5" t="inlineStr">
        <is>
          <t>Horas y accidentabilidad</t>
        </is>
      </c>
      <c r="H31" s="5" t="inlineStr">
        <is>
          <t>ssl</t>
        </is>
      </c>
      <c r="I31" s="5" t="inlineStr">
        <is>
          <t>general</t>
        </is>
      </c>
      <c r="J31" s="5" t="inlineStr">
        <is>
          <t>ssl_industrial.accident_rate_lost</t>
        </is>
      </c>
      <c r="K31" s="5" t="inlineStr">
        <is>
          <t>Tasa de accidentes con baja</t>
        </is>
      </c>
      <c r="L31" s="5" t="inlineStr">
        <is>
          <t>number</t>
        </is>
      </c>
      <c r="M31" s="11" t="n">
        <v>0</v>
      </c>
      <c r="N31" s="5" t="n"/>
      <c r="O31" s="5" t="n"/>
      <c r="P31" s="5" t="n"/>
      <c r="Q31" s="5" t="inlineStr">
        <is>
          <t>x 1.000.000 h</t>
        </is>
      </c>
      <c r="R31" s="5" t="n"/>
      <c r="S31" s="5" t="n"/>
      <c r="T31" s="5" t="n"/>
      <c r="U31" s="5" t="inlineStr">
        <is>
          <t>Migración inicial</t>
        </is>
      </c>
    </row>
    <row r="32">
      <c r="A32" s="9" t="inlineStr">
        <is>
          <t>778ad101-6f1</t>
        </is>
      </c>
      <c r="B32" s="5" t="inlineStr">
        <is>
          <t>SUB-ssl_industrial-2025-02</t>
        </is>
      </c>
      <c r="C32" s="5" t="inlineStr">
        <is>
          <t>2025-02</t>
        </is>
      </c>
      <c r="D32" s="27" t="n">
        <v>45689</v>
      </c>
      <c r="E32" s="5" t="inlineStr">
        <is>
          <t>ssl_industrial</t>
        </is>
      </c>
      <c r="F32" s="5" t="inlineStr">
        <is>
          <t>ssl_mensual</t>
        </is>
      </c>
      <c r="G32" s="5" t="inlineStr">
        <is>
          <t>Horas y accidentabilidad</t>
        </is>
      </c>
      <c r="H32" s="5" t="inlineStr">
        <is>
          <t>ssl</t>
        </is>
      </c>
      <c r="I32" s="5" t="inlineStr">
        <is>
          <t>general</t>
        </is>
      </c>
      <c r="J32" s="5" t="inlineStr">
        <is>
          <t>ssl_industrial.accident_rate_lost</t>
        </is>
      </c>
      <c r="K32" s="5" t="inlineStr">
        <is>
          <t>Tasa de accidentes con baja</t>
        </is>
      </c>
      <c r="L32" s="5" t="inlineStr">
        <is>
          <t>number</t>
        </is>
      </c>
      <c r="M32" s="11" t="n">
        <v>0</v>
      </c>
      <c r="N32" s="5" t="n"/>
      <c r="O32" s="5" t="n"/>
      <c r="P32" s="5" t="n"/>
      <c r="Q32" s="5" t="inlineStr">
        <is>
          <t>x 1.000.000 h</t>
        </is>
      </c>
      <c r="R32" s="5" t="n"/>
      <c r="S32" s="5" t="n"/>
      <c r="T32" s="5" t="n"/>
      <c r="U32" s="5" t="inlineStr">
        <is>
          <t>Migración inicial</t>
        </is>
      </c>
    </row>
    <row r="33">
      <c r="A33" s="9" t="inlineStr">
        <is>
          <t>e7f8bec2-9b9</t>
        </is>
      </c>
      <c r="B33" s="5" t="inlineStr">
        <is>
          <t>SUB-ssl_industrial-2025-03</t>
        </is>
      </c>
      <c r="C33" s="5" t="inlineStr">
        <is>
          <t>2025-03</t>
        </is>
      </c>
      <c r="D33" s="27" t="n">
        <v>45717</v>
      </c>
      <c r="E33" s="5" t="inlineStr">
        <is>
          <t>ssl_industrial</t>
        </is>
      </c>
      <c r="F33" s="5" t="inlineStr">
        <is>
          <t>ssl_mensual</t>
        </is>
      </c>
      <c r="G33" s="5" t="inlineStr">
        <is>
          <t>Horas y accidentabilidad</t>
        </is>
      </c>
      <c r="H33" s="5" t="inlineStr">
        <is>
          <t>ssl</t>
        </is>
      </c>
      <c r="I33" s="5" t="inlineStr">
        <is>
          <t>general</t>
        </is>
      </c>
      <c r="J33" s="5" t="inlineStr">
        <is>
          <t>ssl_industrial.accident_rate_lost</t>
        </is>
      </c>
      <c r="K33" s="5" t="inlineStr">
        <is>
          <t>Tasa de accidentes con baja</t>
        </is>
      </c>
      <c r="L33" s="5" t="inlineStr">
        <is>
          <t>number</t>
        </is>
      </c>
      <c r="M33" s="11" t="n">
        <v>0</v>
      </c>
      <c r="N33" s="5" t="n"/>
      <c r="O33" s="5" t="n"/>
      <c r="P33" s="5" t="n"/>
      <c r="Q33" s="5" t="inlineStr">
        <is>
          <t>x 1.000.000 h</t>
        </is>
      </c>
      <c r="R33" s="5" t="n"/>
      <c r="S33" s="5" t="n"/>
      <c r="T33" s="5" t="n"/>
      <c r="U33" s="5" t="inlineStr">
        <is>
          <t>Migración inicial</t>
        </is>
      </c>
    </row>
    <row r="34">
      <c r="A34" s="9" t="inlineStr">
        <is>
          <t>887bade6-8fa</t>
        </is>
      </c>
      <c r="B34" s="5" t="inlineStr">
        <is>
          <t>SUB-ssl_industrial-2025-04</t>
        </is>
      </c>
      <c r="C34" s="5" t="inlineStr">
        <is>
          <t>2025-04</t>
        </is>
      </c>
      <c r="D34" s="27" t="n">
        <v>45748</v>
      </c>
      <c r="E34" s="5" t="inlineStr">
        <is>
          <t>ssl_industrial</t>
        </is>
      </c>
      <c r="F34" s="5" t="inlineStr">
        <is>
          <t>ssl_mensual</t>
        </is>
      </c>
      <c r="G34" s="5" t="inlineStr">
        <is>
          <t>Horas y accidentabilidad</t>
        </is>
      </c>
      <c r="H34" s="5" t="inlineStr">
        <is>
          <t>ssl</t>
        </is>
      </c>
      <c r="I34" s="5" t="inlineStr">
        <is>
          <t>general</t>
        </is>
      </c>
      <c r="J34" s="5" t="inlineStr">
        <is>
          <t>ssl_industrial.accident_rate_lost</t>
        </is>
      </c>
      <c r="K34" s="5" t="inlineStr">
        <is>
          <t>Tasa de accidentes con baja</t>
        </is>
      </c>
      <c r="L34" s="5" t="inlineStr">
        <is>
          <t>number</t>
        </is>
      </c>
      <c r="M34" s="11" t="n">
        <v>0</v>
      </c>
      <c r="N34" s="5" t="n"/>
      <c r="O34" s="5" t="n"/>
      <c r="P34" s="5" t="n"/>
      <c r="Q34" s="5" t="inlineStr">
        <is>
          <t>x 1.000.000 h</t>
        </is>
      </c>
      <c r="R34" s="5" t="n"/>
      <c r="S34" s="5" t="n"/>
      <c r="T34" s="5" t="n"/>
      <c r="U34" s="5" t="inlineStr">
        <is>
          <t>Migración inicial</t>
        </is>
      </c>
    </row>
    <row r="35">
      <c r="A35" s="9" t="inlineStr">
        <is>
          <t>cc5704ce-7e1</t>
        </is>
      </c>
      <c r="B35" s="5" t="inlineStr">
        <is>
          <t>SUB-ssl_industrial-2025-05</t>
        </is>
      </c>
      <c r="C35" s="5" t="inlineStr">
        <is>
          <t>2025-05</t>
        </is>
      </c>
      <c r="D35" s="27" t="n">
        <v>45778</v>
      </c>
      <c r="E35" s="5" t="inlineStr">
        <is>
          <t>ssl_industrial</t>
        </is>
      </c>
      <c r="F35" s="5" t="inlineStr">
        <is>
          <t>ssl_mensual</t>
        </is>
      </c>
      <c r="G35" s="5" t="inlineStr">
        <is>
          <t>Horas y accidentabilidad</t>
        </is>
      </c>
      <c r="H35" s="5" t="inlineStr">
        <is>
          <t>ssl</t>
        </is>
      </c>
      <c r="I35" s="5" t="inlineStr">
        <is>
          <t>general</t>
        </is>
      </c>
      <c r="J35" s="5" t="inlineStr">
        <is>
          <t>ssl_industrial.accident_rate_lost</t>
        </is>
      </c>
      <c r="K35" s="5" t="inlineStr">
        <is>
          <t>Tasa de accidentes con baja</t>
        </is>
      </c>
      <c r="L35" s="5" t="inlineStr">
        <is>
          <t>number</t>
        </is>
      </c>
      <c r="M35" s="11" t="n">
        <v>0</v>
      </c>
      <c r="N35" s="5" t="n"/>
      <c r="O35" s="5" t="n"/>
      <c r="P35" s="5" t="n"/>
      <c r="Q35" s="5" t="inlineStr">
        <is>
          <t>x 1.000.000 h</t>
        </is>
      </c>
      <c r="R35" s="5" t="n"/>
      <c r="S35" s="5" t="n"/>
      <c r="T35" s="5" t="n"/>
      <c r="U35" s="5" t="inlineStr">
        <is>
          <t>Migración inicial</t>
        </is>
      </c>
    </row>
    <row r="36">
      <c r="A36" s="9" t="inlineStr">
        <is>
          <t>3fa176b5-39e</t>
        </is>
      </c>
      <c r="B36" s="5" t="inlineStr">
        <is>
          <t>SUB-ssl_industrial-2025-06</t>
        </is>
      </c>
      <c r="C36" s="5" t="inlineStr">
        <is>
          <t>2025-06</t>
        </is>
      </c>
      <c r="D36" s="27" t="n">
        <v>45809</v>
      </c>
      <c r="E36" s="5" t="inlineStr">
        <is>
          <t>ssl_industrial</t>
        </is>
      </c>
      <c r="F36" s="5" t="inlineStr">
        <is>
          <t>ssl_mensual</t>
        </is>
      </c>
      <c r="G36" s="5" t="inlineStr">
        <is>
          <t>Horas y accidentabilidad</t>
        </is>
      </c>
      <c r="H36" s="5" t="inlineStr">
        <is>
          <t>ssl</t>
        </is>
      </c>
      <c r="I36" s="5" t="inlineStr">
        <is>
          <t>general</t>
        </is>
      </c>
      <c r="J36" s="5" t="inlineStr">
        <is>
          <t>ssl_industrial.accident_rate_lost</t>
        </is>
      </c>
      <c r="K36" s="5" t="inlineStr">
        <is>
          <t>Tasa de accidentes con baja</t>
        </is>
      </c>
      <c r="L36" s="5" t="inlineStr">
        <is>
          <t>number</t>
        </is>
      </c>
      <c r="M36" s="11" t="n">
        <v>0</v>
      </c>
      <c r="N36" s="5" t="n"/>
      <c r="O36" s="5" t="n"/>
      <c r="P36" s="5" t="n"/>
      <c r="Q36" s="5" t="inlineStr">
        <is>
          <t>x 1.000.000 h</t>
        </is>
      </c>
      <c r="R36" s="5" t="n"/>
      <c r="S36" s="5" t="n"/>
      <c r="T36" s="5" t="n"/>
      <c r="U36" s="5" t="inlineStr">
        <is>
          <t>Migración inicial</t>
        </is>
      </c>
    </row>
    <row r="37">
      <c r="A37" s="9" t="inlineStr">
        <is>
          <t>3d36de31-342</t>
        </is>
      </c>
      <c r="B37" s="5" t="inlineStr">
        <is>
          <t>SUB-ssl_industrial-2025-07</t>
        </is>
      </c>
      <c r="C37" s="5" t="inlineStr">
        <is>
          <t>2025-07</t>
        </is>
      </c>
      <c r="D37" s="27" t="n">
        <v>45839</v>
      </c>
      <c r="E37" s="5" t="inlineStr">
        <is>
          <t>ssl_industrial</t>
        </is>
      </c>
      <c r="F37" s="5" t="inlineStr">
        <is>
          <t>ssl_mensual</t>
        </is>
      </c>
      <c r="G37" s="5" t="inlineStr">
        <is>
          <t>Horas y accidentabilidad</t>
        </is>
      </c>
      <c r="H37" s="5" t="inlineStr">
        <is>
          <t>ssl</t>
        </is>
      </c>
      <c r="I37" s="5" t="inlineStr">
        <is>
          <t>general</t>
        </is>
      </c>
      <c r="J37" s="5" t="inlineStr">
        <is>
          <t>ssl_industrial.accident_rate_lost</t>
        </is>
      </c>
      <c r="K37" s="5" t="inlineStr">
        <is>
          <t>Tasa de accidentes con baja</t>
        </is>
      </c>
      <c r="L37" s="5" t="inlineStr">
        <is>
          <t>number</t>
        </is>
      </c>
      <c r="M37" s="11" t="n">
        <v>0</v>
      </c>
      <c r="N37" s="5" t="n"/>
      <c r="O37" s="5" t="n"/>
      <c r="P37" s="5" t="n"/>
      <c r="Q37" s="5" t="inlineStr">
        <is>
          <t>x 1.000.000 h</t>
        </is>
      </c>
      <c r="R37" s="5" t="n"/>
      <c r="S37" s="5" t="n"/>
      <c r="T37" s="5" t="n"/>
      <c r="U37" s="5" t="inlineStr">
        <is>
          <t>Migración inicial</t>
        </is>
      </c>
    </row>
    <row r="38">
      <c r="A38" s="9" t="inlineStr">
        <is>
          <t>833c4f1e-ae1</t>
        </is>
      </c>
      <c r="B38" s="5" t="inlineStr">
        <is>
          <t>SUB-ssl_industrial-2025-08</t>
        </is>
      </c>
      <c r="C38" s="5" t="inlineStr">
        <is>
          <t>2025-08</t>
        </is>
      </c>
      <c r="D38" s="27" t="n">
        <v>45870</v>
      </c>
      <c r="E38" s="5" t="inlineStr">
        <is>
          <t>ssl_industrial</t>
        </is>
      </c>
      <c r="F38" s="5" t="inlineStr">
        <is>
          <t>ssl_mensual</t>
        </is>
      </c>
      <c r="G38" s="5" t="inlineStr">
        <is>
          <t>Horas y accidentabilidad</t>
        </is>
      </c>
      <c r="H38" s="5" t="inlineStr">
        <is>
          <t>ssl</t>
        </is>
      </c>
      <c r="I38" s="5" t="inlineStr">
        <is>
          <t>general</t>
        </is>
      </c>
      <c r="J38" s="5" t="inlineStr">
        <is>
          <t>ssl_industrial.accident_rate_lost</t>
        </is>
      </c>
      <c r="K38" s="5" t="inlineStr">
        <is>
          <t>Tasa de accidentes con baja</t>
        </is>
      </c>
      <c r="L38" s="5" t="inlineStr">
        <is>
          <t>number</t>
        </is>
      </c>
      <c r="M38" s="11" t="n">
        <v>0</v>
      </c>
      <c r="N38" s="5" t="n"/>
      <c r="O38" s="5" t="n"/>
      <c r="P38" s="5" t="n"/>
      <c r="Q38" s="5" t="inlineStr">
        <is>
          <t>x 1.000.000 h</t>
        </is>
      </c>
      <c r="R38" s="5" t="n"/>
      <c r="S38" s="5" t="n"/>
      <c r="T38" s="5" t="n"/>
      <c r="U38" s="5" t="inlineStr">
        <is>
          <t>Migración inicial</t>
        </is>
      </c>
    </row>
    <row r="39">
      <c r="A39" s="9" t="inlineStr">
        <is>
          <t>a1d243ee-b20</t>
        </is>
      </c>
      <c r="B39" s="5" t="inlineStr">
        <is>
          <t>SUB-comunicacion_social-2024-01</t>
        </is>
      </c>
      <c r="C39" s="5" t="inlineStr">
        <is>
          <t>2024-01</t>
        </is>
      </c>
      <c r="D39" s="27" t="n">
        <v>45292</v>
      </c>
      <c r="E39" s="5" t="inlineStr">
        <is>
          <t>comunicacion_social</t>
        </is>
      </c>
      <c r="F39" s="5" t="inlineStr">
        <is>
          <t>social_qcs</t>
        </is>
      </c>
      <c r="G39" s="5" t="inlineStr">
        <is>
          <t>QCS</t>
        </is>
      </c>
      <c r="H39" s="5" t="inlineStr">
        <is>
          <t>social_qcs</t>
        </is>
      </c>
      <c r="I39" s="5" t="inlineStr">
        <is>
          <t>general</t>
        </is>
      </c>
      <c r="J39" s="5" t="inlineStr">
        <is>
          <t>comunicacion_social.quejas</t>
        </is>
      </c>
      <c r="K39" s="5" t="inlineStr">
        <is>
          <t>Quejas</t>
        </is>
      </c>
      <c r="L39" s="5" t="inlineStr">
        <is>
          <t>number</t>
        </is>
      </c>
      <c r="M39" s="11" t="n">
        <v>3</v>
      </c>
      <c r="N39" s="5" t="n"/>
      <c r="O39" s="5" t="n"/>
      <c r="P39" s="5" t="n"/>
      <c r="Q39" s="5" t="inlineStr">
        <is>
          <t>n</t>
        </is>
      </c>
      <c r="R39" s="5" t="n"/>
      <c r="S39" s="5" t="n"/>
      <c r="T39" s="5" t="n"/>
      <c r="U39" s="5" t="inlineStr">
        <is>
          <t>Migración inicial</t>
        </is>
      </c>
    </row>
    <row r="40">
      <c r="A40" s="9" t="inlineStr">
        <is>
          <t>9ad416f0-963</t>
        </is>
      </c>
      <c r="B40" s="5" t="inlineStr">
        <is>
          <t>SUB-comunicacion_social-2024-01</t>
        </is>
      </c>
      <c r="C40" s="5" t="inlineStr">
        <is>
          <t>2024-01</t>
        </is>
      </c>
      <c r="D40" s="27" t="n">
        <v>45292</v>
      </c>
      <c r="E40" s="5" t="inlineStr">
        <is>
          <t>comunicacion_social</t>
        </is>
      </c>
      <c r="F40" s="5" t="inlineStr">
        <is>
          <t>social_qcs</t>
        </is>
      </c>
      <c r="G40" s="5" t="inlineStr">
        <is>
          <t>QCS</t>
        </is>
      </c>
      <c r="H40" s="5" t="inlineStr">
        <is>
          <t>social_qcs</t>
        </is>
      </c>
      <c r="I40" s="5" t="inlineStr">
        <is>
          <t>general</t>
        </is>
      </c>
      <c r="J40" s="5" t="inlineStr">
        <is>
          <t>comunicacion_social.consultas</t>
        </is>
      </c>
      <c r="K40" s="5" t="inlineStr">
        <is>
          <t>Consultas</t>
        </is>
      </c>
      <c r="L40" s="5" t="inlineStr">
        <is>
          <t>number</t>
        </is>
      </c>
      <c r="M40" s="5" t="n"/>
      <c r="N40" s="5" t="n"/>
      <c r="O40" s="5" t="n"/>
      <c r="P40" s="5" t="n"/>
      <c r="Q40" s="5" t="inlineStr">
        <is>
          <t>n</t>
        </is>
      </c>
      <c r="R40" s="5" t="n"/>
      <c r="S40" s="5" t="n"/>
      <c r="T40" s="5" t="n"/>
      <c r="U40" s="5" t="inlineStr">
        <is>
          <t>Migración inicial</t>
        </is>
      </c>
    </row>
    <row r="41">
      <c r="A41" s="9" t="inlineStr">
        <is>
          <t>4281f17f-2c4</t>
        </is>
      </c>
      <c r="B41" s="5" t="inlineStr">
        <is>
          <t>SUB-comunicacion_social-2024-01</t>
        </is>
      </c>
      <c r="C41" s="5" t="inlineStr">
        <is>
          <t>2024-01</t>
        </is>
      </c>
      <c r="D41" s="27" t="n">
        <v>45292</v>
      </c>
      <c r="E41" s="5" t="inlineStr">
        <is>
          <t>comunicacion_social</t>
        </is>
      </c>
      <c r="F41" s="5" t="inlineStr">
        <is>
          <t>social_qcs</t>
        </is>
      </c>
      <c r="G41" s="5" t="inlineStr">
        <is>
          <t>QCS</t>
        </is>
      </c>
      <c r="H41" s="5" t="inlineStr">
        <is>
          <t>social_qcs</t>
        </is>
      </c>
      <c r="I41" s="5" t="inlineStr">
        <is>
          <t>general</t>
        </is>
      </c>
      <c r="J41" s="5" t="inlineStr">
        <is>
          <t>comunicacion_social.sugerencias</t>
        </is>
      </c>
      <c r="K41" s="5" t="inlineStr">
        <is>
          <t>Sugerencias</t>
        </is>
      </c>
      <c r="L41" s="5" t="inlineStr">
        <is>
          <t>number</t>
        </is>
      </c>
      <c r="M41" s="5" t="n"/>
      <c r="N41" s="5" t="n"/>
      <c r="O41" s="5" t="n"/>
      <c r="P41" s="5" t="n"/>
      <c r="Q41" s="5" t="inlineStr">
        <is>
          <t>n</t>
        </is>
      </c>
      <c r="R41" s="5" t="n"/>
      <c r="S41" s="5" t="n"/>
      <c r="T41" s="5" t="n"/>
      <c r="U41" s="5" t="inlineStr">
        <is>
          <t>Migración inicial</t>
        </is>
      </c>
    </row>
    <row r="42">
      <c r="A42" s="9" t="inlineStr">
        <is>
          <t>587f6d25-3e6</t>
        </is>
      </c>
      <c r="B42" s="5" t="inlineStr">
        <is>
          <t>SUB-comunicacion_social-2024-01</t>
        </is>
      </c>
      <c r="C42" s="5" t="inlineStr">
        <is>
          <t>2024-01</t>
        </is>
      </c>
      <c r="D42" s="27" t="n">
        <v>45292</v>
      </c>
      <c r="E42" s="5" t="inlineStr">
        <is>
          <t>comunicacion_social</t>
        </is>
      </c>
      <c r="F42" s="5" t="inlineStr">
        <is>
          <t>social_qcs</t>
        </is>
      </c>
      <c r="G42" s="5" t="inlineStr">
        <is>
          <t>QCS</t>
        </is>
      </c>
      <c r="H42" s="5" t="inlineStr">
        <is>
          <t>social_qcs</t>
        </is>
      </c>
      <c r="I42" s="5" t="inlineStr">
        <is>
          <t>general</t>
        </is>
      </c>
      <c r="J42" s="5" t="inlineStr">
        <is>
          <t>comunicacion_social.contactos_total</t>
        </is>
      </c>
      <c r="K42" s="5" t="inlineStr">
        <is>
          <t>Contactos Total</t>
        </is>
      </c>
      <c r="L42" s="5" t="inlineStr">
        <is>
          <t>number</t>
        </is>
      </c>
      <c r="M42" s="11" t="n">
        <v>3</v>
      </c>
      <c r="N42" s="5" t="n"/>
      <c r="O42" s="5" t="n"/>
      <c r="P42" s="5" t="n"/>
      <c r="Q42" s="5" t="inlineStr">
        <is>
          <t>n</t>
        </is>
      </c>
      <c r="R42" s="5" t="n"/>
      <c r="S42" s="5" t="n"/>
      <c r="T42" s="5" t="n"/>
      <c r="U42" s="5" t="inlineStr">
        <is>
          <t>Migración inicial</t>
        </is>
      </c>
    </row>
    <row r="43">
      <c r="A43" s="9" t="inlineStr">
        <is>
          <t>60bd2d18-465</t>
        </is>
      </c>
      <c r="B43" s="5" t="inlineStr">
        <is>
          <t>SUB-comunicacion_social-2024-02</t>
        </is>
      </c>
      <c r="C43" s="5" t="inlineStr">
        <is>
          <t>2024-02</t>
        </is>
      </c>
      <c r="D43" s="27" t="n">
        <v>45323</v>
      </c>
      <c r="E43" s="5" t="inlineStr">
        <is>
          <t>comunicacion_social</t>
        </is>
      </c>
      <c r="F43" s="5" t="inlineStr">
        <is>
          <t>social_qcs</t>
        </is>
      </c>
      <c r="G43" s="5" t="inlineStr">
        <is>
          <t>QCS</t>
        </is>
      </c>
      <c r="H43" s="5" t="inlineStr">
        <is>
          <t>social_qcs</t>
        </is>
      </c>
      <c r="I43" s="5" t="inlineStr">
        <is>
          <t>general</t>
        </is>
      </c>
      <c r="J43" s="5" t="inlineStr">
        <is>
          <t>comunicacion_social.quejas</t>
        </is>
      </c>
      <c r="K43" s="5" t="inlineStr">
        <is>
          <t>Quejas</t>
        </is>
      </c>
      <c r="L43" s="5" t="inlineStr">
        <is>
          <t>number</t>
        </is>
      </c>
      <c r="M43" s="11" t="n">
        <v>19</v>
      </c>
      <c r="N43" s="5" t="n"/>
      <c r="O43" s="5" t="n"/>
      <c r="P43" s="5" t="n"/>
      <c r="Q43" s="5" t="inlineStr">
        <is>
          <t>n</t>
        </is>
      </c>
      <c r="R43" s="5" t="n"/>
      <c r="S43" s="5" t="n"/>
      <c r="T43" s="5" t="n"/>
      <c r="U43" s="5" t="inlineStr">
        <is>
          <t>Migración inicial</t>
        </is>
      </c>
    </row>
    <row r="44">
      <c r="A44" s="9" t="inlineStr">
        <is>
          <t>908f30b1-40d</t>
        </is>
      </c>
      <c r="B44" s="5" t="inlineStr">
        <is>
          <t>SUB-comunicacion_social-2024-02</t>
        </is>
      </c>
      <c r="C44" s="5" t="inlineStr">
        <is>
          <t>2024-02</t>
        </is>
      </c>
      <c r="D44" s="27" t="n">
        <v>45323</v>
      </c>
      <c r="E44" s="5" t="inlineStr">
        <is>
          <t>comunicacion_social</t>
        </is>
      </c>
      <c r="F44" s="5" t="inlineStr">
        <is>
          <t>social_qcs</t>
        </is>
      </c>
      <c r="G44" s="5" t="inlineStr">
        <is>
          <t>QCS</t>
        </is>
      </c>
      <c r="H44" s="5" t="inlineStr">
        <is>
          <t>social_qcs</t>
        </is>
      </c>
      <c r="I44" s="5" t="inlineStr">
        <is>
          <t>general</t>
        </is>
      </c>
      <c r="J44" s="5" t="inlineStr">
        <is>
          <t>comunicacion_social.consultas</t>
        </is>
      </c>
      <c r="K44" s="5" t="inlineStr">
        <is>
          <t>Consultas</t>
        </is>
      </c>
      <c r="L44" s="5" t="inlineStr">
        <is>
          <t>number</t>
        </is>
      </c>
      <c r="M44" s="5" t="n"/>
      <c r="N44" s="5" t="n"/>
      <c r="O44" s="5" t="n"/>
      <c r="P44" s="5" t="n"/>
      <c r="Q44" s="5" t="inlineStr">
        <is>
          <t>n</t>
        </is>
      </c>
      <c r="R44" s="5" t="n"/>
      <c r="S44" s="5" t="n"/>
      <c r="T44" s="5" t="n"/>
      <c r="U44" s="5" t="inlineStr">
        <is>
          <t>Migración inicial</t>
        </is>
      </c>
    </row>
    <row r="45">
      <c r="A45" s="9" t="inlineStr">
        <is>
          <t>36410f9f-d58</t>
        </is>
      </c>
      <c r="B45" s="5" t="inlineStr">
        <is>
          <t>SUB-comunicacion_social-2024-02</t>
        </is>
      </c>
      <c r="C45" s="5" t="inlineStr">
        <is>
          <t>2024-02</t>
        </is>
      </c>
      <c r="D45" s="27" t="n">
        <v>45323</v>
      </c>
      <c r="E45" s="5" t="inlineStr">
        <is>
          <t>comunicacion_social</t>
        </is>
      </c>
      <c r="F45" s="5" t="inlineStr">
        <is>
          <t>social_qcs</t>
        </is>
      </c>
      <c r="G45" s="5" t="inlineStr">
        <is>
          <t>QCS</t>
        </is>
      </c>
      <c r="H45" s="5" t="inlineStr">
        <is>
          <t>social_qcs</t>
        </is>
      </c>
      <c r="I45" s="5" t="inlineStr">
        <is>
          <t>general</t>
        </is>
      </c>
      <c r="J45" s="5" t="inlineStr">
        <is>
          <t>comunicacion_social.sugerencias</t>
        </is>
      </c>
      <c r="K45" s="5" t="inlineStr">
        <is>
          <t>Sugerencias</t>
        </is>
      </c>
      <c r="L45" s="5" t="inlineStr">
        <is>
          <t>number</t>
        </is>
      </c>
      <c r="M45" s="5" t="n"/>
      <c r="N45" s="5" t="n"/>
      <c r="O45" s="5" t="n"/>
      <c r="P45" s="5" t="n"/>
      <c r="Q45" s="5" t="inlineStr">
        <is>
          <t>n</t>
        </is>
      </c>
      <c r="R45" s="5" t="n"/>
      <c r="S45" s="5" t="n"/>
      <c r="T45" s="5" t="n"/>
      <c r="U45" s="5" t="inlineStr">
        <is>
          <t>Migración inicial</t>
        </is>
      </c>
    </row>
    <row r="46">
      <c r="A46" s="9" t="inlineStr">
        <is>
          <t>377ddd06-a35</t>
        </is>
      </c>
      <c r="B46" s="5" t="inlineStr">
        <is>
          <t>SUB-comunicacion_social-2024-02</t>
        </is>
      </c>
      <c r="C46" s="5" t="inlineStr">
        <is>
          <t>2024-02</t>
        </is>
      </c>
      <c r="D46" s="27" t="n">
        <v>45323</v>
      </c>
      <c r="E46" s="5" t="inlineStr">
        <is>
          <t>comunicacion_social</t>
        </is>
      </c>
      <c r="F46" s="5" t="inlineStr">
        <is>
          <t>social_qcs</t>
        </is>
      </c>
      <c r="G46" s="5" t="inlineStr">
        <is>
          <t>QCS</t>
        </is>
      </c>
      <c r="H46" s="5" t="inlineStr">
        <is>
          <t>social_qcs</t>
        </is>
      </c>
      <c r="I46" s="5" t="inlineStr">
        <is>
          <t>general</t>
        </is>
      </c>
      <c r="J46" s="5" t="inlineStr">
        <is>
          <t>comunicacion_social.contactos_total</t>
        </is>
      </c>
      <c r="K46" s="5" t="inlineStr">
        <is>
          <t>Contactos Total</t>
        </is>
      </c>
      <c r="L46" s="5" t="inlineStr">
        <is>
          <t>number</t>
        </is>
      </c>
      <c r="M46" s="11" t="n">
        <v>19</v>
      </c>
      <c r="N46" s="5" t="n"/>
      <c r="O46" s="5" t="n"/>
      <c r="P46" s="5" t="n"/>
      <c r="Q46" s="5" t="inlineStr">
        <is>
          <t>n</t>
        </is>
      </c>
      <c r="R46" s="5" t="n"/>
      <c r="S46" s="5" t="n"/>
      <c r="T46" s="5" t="n"/>
      <c r="U46" s="5" t="inlineStr">
        <is>
          <t>Migración inicial</t>
        </is>
      </c>
    </row>
    <row r="47">
      <c r="A47" s="9" t="inlineStr">
        <is>
          <t>923359a1-9a5</t>
        </is>
      </c>
      <c r="B47" s="5" t="inlineStr">
        <is>
          <t>SUB-comunicacion_social-2024-03</t>
        </is>
      </c>
      <c r="C47" s="5" t="inlineStr">
        <is>
          <t>2024-03</t>
        </is>
      </c>
      <c r="D47" s="27" t="n">
        <v>45352</v>
      </c>
      <c r="E47" s="5" t="inlineStr">
        <is>
          <t>comunicacion_social</t>
        </is>
      </c>
      <c r="F47" s="5" t="inlineStr">
        <is>
          <t>social_qcs</t>
        </is>
      </c>
      <c r="G47" s="5" t="inlineStr">
        <is>
          <t>QCS</t>
        </is>
      </c>
      <c r="H47" s="5" t="inlineStr">
        <is>
          <t>social_qcs</t>
        </is>
      </c>
      <c r="I47" s="5" t="inlineStr">
        <is>
          <t>general</t>
        </is>
      </c>
      <c r="J47" s="5" t="inlineStr">
        <is>
          <t>comunicacion_social.quejas</t>
        </is>
      </c>
      <c r="K47" s="5" t="inlineStr">
        <is>
          <t>Quejas</t>
        </is>
      </c>
      <c r="L47" s="5" t="inlineStr">
        <is>
          <t>number</t>
        </is>
      </c>
      <c r="M47" s="11" t="n">
        <v>1</v>
      </c>
      <c r="N47" s="5" t="n"/>
      <c r="O47" s="5" t="n"/>
      <c r="P47" s="5" t="n"/>
      <c r="Q47" s="5" t="inlineStr">
        <is>
          <t>n</t>
        </is>
      </c>
      <c r="R47" s="5" t="n"/>
      <c r="S47" s="5" t="n"/>
      <c r="T47" s="5" t="n"/>
      <c r="U47" s="5" t="inlineStr">
        <is>
          <t>Migración inicial</t>
        </is>
      </c>
    </row>
    <row r="48">
      <c r="A48" s="9" t="inlineStr">
        <is>
          <t>de4e9c9f-7cb</t>
        </is>
      </c>
      <c r="B48" s="5" t="inlineStr">
        <is>
          <t>SUB-comunicacion_social-2024-03</t>
        </is>
      </c>
      <c r="C48" s="5" t="inlineStr">
        <is>
          <t>2024-03</t>
        </is>
      </c>
      <c r="D48" s="27" t="n">
        <v>45352</v>
      </c>
      <c r="E48" s="5" t="inlineStr">
        <is>
          <t>comunicacion_social</t>
        </is>
      </c>
      <c r="F48" s="5" t="inlineStr">
        <is>
          <t>social_qcs</t>
        </is>
      </c>
      <c r="G48" s="5" t="inlineStr">
        <is>
          <t>QCS</t>
        </is>
      </c>
      <c r="H48" s="5" t="inlineStr">
        <is>
          <t>social_qcs</t>
        </is>
      </c>
      <c r="I48" s="5" t="inlineStr">
        <is>
          <t>general</t>
        </is>
      </c>
      <c r="J48" s="5" t="inlineStr">
        <is>
          <t>comunicacion_social.consultas</t>
        </is>
      </c>
      <c r="K48" s="5" t="inlineStr">
        <is>
          <t>Consultas</t>
        </is>
      </c>
      <c r="L48" s="5" t="inlineStr">
        <is>
          <t>number</t>
        </is>
      </c>
      <c r="M48" s="5" t="n"/>
      <c r="N48" s="5" t="n"/>
      <c r="O48" s="5" t="n"/>
      <c r="P48" s="5" t="n"/>
      <c r="Q48" s="5" t="inlineStr">
        <is>
          <t>n</t>
        </is>
      </c>
      <c r="R48" s="5" t="n"/>
      <c r="S48" s="5" t="n"/>
      <c r="T48" s="5" t="n"/>
      <c r="U48" s="5" t="inlineStr">
        <is>
          <t>Migración inicial</t>
        </is>
      </c>
    </row>
    <row r="49">
      <c r="A49" s="9" t="inlineStr">
        <is>
          <t>b3cad508-23f</t>
        </is>
      </c>
      <c r="B49" s="5" t="inlineStr">
        <is>
          <t>SUB-comunicacion_social-2024-03</t>
        </is>
      </c>
      <c r="C49" s="5" t="inlineStr">
        <is>
          <t>2024-03</t>
        </is>
      </c>
      <c r="D49" s="27" t="n">
        <v>45352</v>
      </c>
      <c r="E49" s="5" t="inlineStr">
        <is>
          <t>comunicacion_social</t>
        </is>
      </c>
      <c r="F49" s="5" t="inlineStr">
        <is>
          <t>social_qcs</t>
        </is>
      </c>
      <c r="G49" s="5" t="inlineStr">
        <is>
          <t>QCS</t>
        </is>
      </c>
      <c r="H49" s="5" t="inlineStr">
        <is>
          <t>social_qcs</t>
        </is>
      </c>
      <c r="I49" s="5" t="inlineStr">
        <is>
          <t>general</t>
        </is>
      </c>
      <c r="J49" s="5" t="inlineStr">
        <is>
          <t>comunicacion_social.sugerencias</t>
        </is>
      </c>
      <c r="K49" s="5" t="inlineStr">
        <is>
          <t>Sugerencias</t>
        </is>
      </c>
      <c r="L49" s="5" t="inlineStr">
        <is>
          <t>number</t>
        </is>
      </c>
      <c r="M49" s="5" t="n"/>
      <c r="N49" s="5" t="n"/>
      <c r="O49" s="5" t="n"/>
      <c r="P49" s="5" t="n"/>
      <c r="Q49" s="5" t="inlineStr">
        <is>
          <t>n</t>
        </is>
      </c>
      <c r="R49" s="5" t="n"/>
      <c r="S49" s="5" t="n"/>
      <c r="T49" s="5" t="n"/>
      <c r="U49" s="5" t="inlineStr">
        <is>
          <t>Migración inicial</t>
        </is>
      </c>
    </row>
    <row r="50">
      <c r="A50" s="9" t="inlineStr">
        <is>
          <t>6b134e36-dd3</t>
        </is>
      </c>
      <c r="B50" s="5" t="inlineStr">
        <is>
          <t>SUB-comunicacion_social-2024-03</t>
        </is>
      </c>
      <c r="C50" s="5" t="inlineStr">
        <is>
          <t>2024-03</t>
        </is>
      </c>
      <c r="D50" s="27" t="n">
        <v>45352</v>
      </c>
      <c r="E50" s="5" t="inlineStr">
        <is>
          <t>comunicacion_social</t>
        </is>
      </c>
      <c r="F50" s="5" t="inlineStr">
        <is>
          <t>social_qcs</t>
        </is>
      </c>
      <c r="G50" s="5" t="inlineStr">
        <is>
          <t>QCS</t>
        </is>
      </c>
      <c r="H50" s="5" t="inlineStr">
        <is>
          <t>social_qcs</t>
        </is>
      </c>
      <c r="I50" s="5" t="inlineStr">
        <is>
          <t>general</t>
        </is>
      </c>
      <c r="J50" s="5" t="inlineStr">
        <is>
          <t>comunicacion_social.contactos_total</t>
        </is>
      </c>
      <c r="K50" s="5" t="inlineStr">
        <is>
          <t>Contactos Total</t>
        </is>
      </c>
      <c r="L50" s="5" t="inlineStr">
        <is>
          <t>number</t>
        </is>
      </c>
      <c r="M50" s="11" t="n">
        <v>1</v>
      </c>
      <c r="N50" s="5" t="n"/>
      <c r="O50" s="5" t="n"/>
      <c r="P50" s="5" t="n"/>
      <c r="Q50" s="5" t="inlineStr">
        <is>
          <t>n</t>
        </is>
      </c>
      <c r="R50" s="5" t="n"/>
      <c r="S50" s="5" t="n"/>
      <c r="T50" s="5" t="n"/>
      <c r="U50" s="5" t="inlineStr">
        <is>
          <t>Migración inicial</t>
        </is>
      </c>
    </row>
    <row r="51">
      <c r="A51" s="9" t="inlineStr">
        <is>
          <t>fcfeac96-f64</t>
        </is>
      </c>
      <c r="B51" s="5" t="inlineStr">
        <is>
          <t>SUB-comunicacion_social-2024-04</t>
        </is>
      </c>
      <c r="C51" s="5" t="inlineStr">
        <is>
          <t>2024-04</t>
        </is>
      </c>
      <c r="D51" s="27" t="n">
        <v>45383</v>
      </c>
      <c r="E51" s="5" t="inlineStr">
        <is>
          <t>comunicacion_social</t>
        </is>
      </c>
      <c r="F51" s="5" t="inlineStr">
        <is>
          <t>social_qcs</t>
        </is>
      </c>
      <c r="G51" s="5" t="inlineStr">
        <is>
          <t>QCS</t>
        </is>
      </c>
      <c r="H51" s="5" t="inlineStr">
        <is>
          <t>social_qcs</t>
        </is>
      </c>
      <c r="I51" s="5" t="inlineStr">
        <is>
          <t>general</t>
        </is>
      </c>
      <c r="J51" s="5" t="inlineStr">
        <is>
          <t>comunicacion_social.quejas</t>
        </is>
      </c>
      <c r="K51" s="5" t="inlineStr">
        <is>
          <t>Quejas</t>
        </is>
      </c>
      <c r="L51" s="5" t="inlineStr">
        <is>
          <t>number</t>
        </is>
      </c>
      <c r="M51" s="11" t="n">
        <v>0</v>
      </c>
      <c r="N51" s="5" t="n"/>
      <c r="O51" s="5" t="n"/>
      <c r="P51" s="5" t="n"/>
      <c r="Q51" s="5" t="inlineStr">
        <is>
          <t>n</t>
        </is>
      </c>
      <c r="R51" s="5" t="n"/>
      <c r="S51" s="5" t="n"/>
      <c r="T51" s="5" t="n"/>
      <c r="U51" s="5" t="inlineStr">
        <is>
          <t>Migración inicial</t>
        </is>
      </c>
    </row>
    <row r="52">
      <c r="A52" s="9" t="inlineStr">
        <is>
          <t>51156e8e-4f9</t>
        </is>
      </c>
      <c r="B52" s="5" t="inlineStr">
        <is>
          <t>SUB-comunicacion_social-2024-04</t>
        </is>
      </c>
      <c r="C52" s="5" t="inlineStr">
        <is>
          <t>2024-04</t>
        </is>
      </c>
      <c r="D52" s="27" t="n">
        <v>45383</v>
      </c>
      <c r="E52" s="5" t="inlineStr">
        <is>
          <t>comunicacion_social</t>
        </is>
      </c>
      <c r="F52" s="5" t="inlineStr">
        <is>
          <t>social_qcs</t>
        </is>
      </c>
      <c r="G52" s="5" t="inlineStr">
        <is>
          <t>QCS</t>
        </is>
      </c>
      <c r="H52" s="5" t="inlineStr">
        <is>
          <t>social_qcs</t>
        </is>
      </c>
      <c r="I52" s="5" t="inlineStr">
        <is>
          <t>general</t>
        </is>
      </c>
      <c r="J52" s="5" t="inlineStr">
        <is>
          <t>comunicacion_social.consultas</t>
        </is>
      </c>
      <c r="K52" s="5" t="inlineStr">
        <is>
          <t>Consultas</t>
        </is>
      </c>
      <c r="L52" s="5" t="inlineStr">
        <is>
          <t>number</t>
        </is>
      </c>
      <c r="M52" s="5" t="n"/>
      <c r="N52" s="5" t="n"/>
      <c r="O52" s="5" t="n"/>
      <c r="P52" s="5" t="n"/>
      <c r="Q52" s="5" t="inlineStr">
        <is>
          <t>n</t>
        </is>
      </c>
      <c r="R52" s="5" t="n"/>
      <c r="S52" s="5" t="n"/>
      <c r="T52" s="5" t="n"/>
      <c r="U52" s="5" t="inlineStr">
        <is>
          <t>Migración inicial</t>
        </is>
      </c>
    </row>
    <row r="53">
      <c r="A53" s="9" t="inlineStr">
        <is>
          <t>49aaff10-5bb</t>
        </is>
      </c>
      <c r="B53" s="5" t="inlineStr">
        <is>
          <t>SUB-comunicacion_social-2024-04</t>
        </is>
      </c>
      <c r="C53" s="5" t="inlineStr">
        <is>
          <t>2024-04</t>
        </is>
      </c>
      <c r="D53" s="27" t="n">
        <v>45383</v>
      </c>
      <c r="E53" s="5" t="inlineStr">
        <is>
          <t>comunicacion_social</t>
        </is>
      </c>
      <c r="F53" s="5" t="inlineStr">
        <is>
          <t>social_qcs</t>
        </is>
      </c>
      <c r="G53" s="5" t="inlineStr">
        <is>
          <t>QCS</t>
        </is>
      </c>
      <c r="H53" s="5" t="inlineStr">
        <is>
          <t>social_qcs</t>
        </is>
      </c>
      <c r="I53" s="5" t="inlineStr">
        <is>
          <t>general</t>
        </is>
      </c>
      <c r="J53" s="5" t="inlineStr">
        <is>
          <t>comunicacion_social.sugerencias</t>
        </is>
      </c>
      <c r="K53" s="5" t="inlineStr">
        <is>
          <t>Sugerencias</t>
        </is>
      </c>
      <c r="L53" s="5" t="inlineStr">
        <is>
          <t>number</t>
        </is>
      </c>
      <c r="M53" s="5" t="n"/>
      <c r="N53" s="5" t="n"/>
      <c r="O53" s="5" t="n"/>
      <c r="P53" s="5" t="n"/>
      <c r="Q53" s="5" t="inlineStr">
        <is>
          <t>n</t>
        </is>
      </c>
      <c r="R53" s="5" t="n"/>
      <c r="S53" s="5" t="n"/>
      <c r="T53" s="5" t="n"/>
      <c r="U53" s="5" t="inlineStr">
        <is>
          <t>Migración inicial</t>
        </is>
      </c>
    </row>
    <row r="54">
      <c r="A54" s="9" t="inlineStr">
        <is>
          <t>ff4a8df7-ffe</t>
        </is>
      </c>
      <c r="B54" s="5" t="inlineStr">
        <is>
          <t>SUB-comunicacion_social-2024-04</t>
        </is>
      </c>
      <c r="C54" s="5" t="inlineStr">
        <is>
          <t>2024-04</t>
        </is>
      </c>
      <c r="D54" s="27" t="n">
        <v>45383</v>
      </c>
      <c r="E54" s="5" t="inlineStr">
        <is>
          <t>comunicacion_social</t>
        </is>
      </c>
      <c r="F54" s="5" t="inlineStr">
        <is>
          <t>social_qcs</t>
        </is>
      </c>
      <c r="G54" s="5" t="inlineStr">
        <is>
          <t>QCS</t>
        </is>
      </c>
      <c r="H54" s="5" t="inlineStr">
        <is>
          <t>social_qcs</t>
        </is>
      </c>
      <c r="I54" s="5" t="inlineStr">
        <is>
          <t>general</t>
        </is>
      </c>
      <c r="J54" s="5" t="inlineStr">
        <is>
          <t>comunicacion_social.contactos_total</t>
        </is>
      </c>
      <c r="K54" s="5" t="inlineStr">
        <is>
          <t>Contactos Total</t>
        </is>
      </c>
      <c r="L54" s="5" t="inlineStr">
        <is>
          <t>number</t>
        </is>
      </c>
      <c r="M54" s="11" t="n">
        <v>0</v>
      </c>
      <c r="N54" s="5" t="n"/>
      <c r="O54" s="5" t="n"/>
      <c r="P54" s="5" t="n"/>
      <c r="Q54" s="5" t="inlineStr">
        <is>
          <t>n</t>
        </is>
      </c>
      <c r="R54" s="5" t="n"/>
      <c r="S54" s="5" t="n"/>
      <c r="T54" s="5" t="n"/>
      <c r="U54" s="5" t="inlineStr">
        <is>
          <t>Migración inicial</t>
        </is>
      </c>
    </row>
    <row r="55">
      <c r="A55" s="9" t="inlineStr">
        <is>
          <t>cf2d8916-01d</t>
        </is>
      </c>
      <c r="B55" s="5" t="inlineStr">
        <is>
          <t>SUB-comunicacion_social-2024-05</t>
        </is>
      </c>
      <c r="C55" s="5" t="inlineStr">
        <is>
          <t>2024-05</t>
        </is>
      </c>
      <c r="D55" s="27" t="n">
        <v>45413</v>
      </c>
      <c r="E55" s="5" t="inlineStr">
        <is>
          <t>comunicacion_social</t>
        </is>
      </c>
      <c r="F55" s="5" t="inlineStr">
        <is>
          <t>social_qcs</t>
        </is>
      </c>
      <c r="G55" s="5" t="inlineStr">
        <is>
          <t>QCS</t>
        </is>
      </c>
      <c r="H55" s="5" t="inlineStr">
        <is>
          <t>social_qcs</t>
        </is>
      </c>
      <c r="I55" s="5" t="inlineStr">
        <is>
          <t>general</t>
        </is>
      </c>
      <c r="J55" s="5" t="inlineStr">
        <is>
          <t>comunicacion_social.quejas</t>
        </is>
      </c>
      <c r="K55" s="5" t="inlineStr">
        <is>
          <t>Quejas</t>
        </is>
      </c>
      <c r="L55" s="5" t="inlineStr">
        <is>
          <t>number</t>
        </is>
      </c>
      <c r="M55" s="11" t="n">
        <v>5</v>
      </c>
      <c r="N55" s="5" t="n"/>
      <c r="O55" s="5" t="n"/>
      <c r="P55" s="5" t="n"/>
      <c r="Q55" s="5" t="inlineStr">
        <is>
          <t>n</t>
        </is>
      </c>
      <c r="R55" s="5" t="n"/>
      <c r="S55" s="5" t="n"/>
      <c r="T55" s="5" t="n"/>
      <c r="U55" s="5" t="inlineStr">
        <is>
          <t>Migración inicial</t>
        </is>
      </c>
    </row>
    <row r="56">
      <c r="A56" s="9" t="inlineStr">
        <is>
          <t>920b67be-d23</t>
        </is>
      </c>
      <c r="B56" s="5" t="inlineStr">
        <is>
          <t>SUB-comunicacion_social-2024-05</t>
        </is>
      </c>
      <c r="C56" s="5" t="inlineStr">
        <is>
          <t>2024-05</t>
        </is>
      </c>
      <c r="D56" s="27" t="n">
        <v>45413</v>
      </c>
      <c r="E56" s="5" t="inlineStr">
        <is>
          <t>comunicacion_social</t>
        </is>
      </c>
      <c r="F56" s="5" t="inlineStr">
        <is>
          <t>social_qcs</t>
        </is>
      </c>
      <c r="G56" s="5" t="inlineStr">
        <is>
          <t>QCS</t>
        </is>
      </c>
      <c r="H56" s="5" t="inlineStr">
        <is>
          <t>social_qcs</t>
        </is>
      </c>
      <c r="I56" s="5" t="inlineStr">
        <is>
          <t>general</t>
        </is>
      </c>
      <c r="J56" s="5" t="inlineStr">
        <is>
          <t>comunicacion_social.consultas</t>
        </is>
      </c>
      <c r="K56" s="5" t="inlineStr">
        <is>
          <t>Consultas</t>
        </is>
      </c>
      <c r="L56" s="5" t="inlineStr">
        <is>
          <t>number</t>
        </is>
      </c>
      <c r="M56" s="5" t="n"/>
      <c r="N56" s="5" t="n"/>
      <c r="O56" s="5" t="n"/>
      <c r="P56" s="5" t="n"/>
      <c r="Q56" s="5" t="inlineStr">
        <is>
          <t>n</t>
        </is>
      </c>
      <c r="R56" s="5" t="n"/>
      <c r="S56" s="5" t="n"/>
      <c r="T56" s="5" t="n"/>
      <c r="U56" s="5" t="inlineStr">
        <is>
          <t>Migración inicial</t>
        </is>
      </c>
    </row>
    <row r="57">
      <c r="A57" s="9" t="inlineStr">
        <is>
          <t>0b71b6cf-bb3</t>
        </is>
      </c>
      <c r="B57" s="5" t="inlineStr">
        <is>
          <t>SUB-comunicacion_social-2024-05</t>
        </is>
      </c>
      <c r="C57" s="5" t="inlineStr">
        <is>
          <t>2024-05</t>
        </is>
      </c>
      <c r="D57" s="27" t="n">
        <v>45413</v>
      </c>
      <c r="E57" s="5" t="inlineStr">
        <is>
          <t>comunicacion_social</t>
        </is>
      </c>
      <c r="F57" s="5" t="inlineStr">
        <is>
          <t>social_qcs</t>
        </is>
      </c>
      <c r="G57" s="5" t="inlineStr">
        <is>
          <t>QCS</t>
        </is>
      </c>
      <c r="H57" s="5" t="inlineStr">
        <is>
          <t>social_qcs</t>
        </is>
      </c>
      <c r="I57" s="5" t="inlineStr">
        <is>
          <t>general</t>
        </is>
      </c>
      <c r="J57" s="5" t="inlineStr">
        <is>
          <t>comunicacion_social.sugerencias</t>
        </is>
      </c>
      <c r="K57" s="5" t="inlineStr">
        <is>
          <t>Sugerencias</t>
        </is>
      </c>
      <c r="L57" s="5" t="inlineStr">
        <is>
          <t>number</t>
        </is>
      </c>
      <c r="M57" s="5" t="n"/>
      <c r="N57" s="5" t="n"/>
      <c r="O57" s="5" t="n"/>
      <c r="P57" s="5" t="n"/>
      <c r="Q57" s="5" t="inlineStr">
        <is>
          <t>n</t>
        </is>
      </c>
      <c r="R57" s="5" t="n"/>
      <c r="S57" s="5" t="n"/>
      <c r="T57" s="5" t="n"/>
      <c r="U57" s="5" t="inlineStr">
        <is>
          <t>Migración inicial</t>
        </is>
      </c>
    </row>
    <row r="58">
      <c r="A58" s="9" t="inlineStr">
        <is>
          <t>7e59e127-e40</t>
        </is>
      </c>
      <c r="B58" s="5" t="inlineStr">
        <is>
          <t>SUB-comunicacion_social-2024-05</t>
        </is>
      </c>
      <c r="C58" s="5" t="inlineStr">
        <is>
          <t>2024-05</t>
        </is>
      </c>
      <c r="D58" s="27" t="n">
        <v>45413</v>
      </c>
      <c r="E58" s="5" t="inlineStr">
        <is>
          <t>comunicacion_social</t>
        </is>
      </c>
      <c r="F58" s="5" t="inlineStr">
        <is>
          <t>social_qcs</t>
        </is>
      </c>
      <c r="G58" s="5" t="inlineStr">
        <is>
          <t>QCS</t>
        </is>
      </c>
      <c r="H58" s="5" t="inlineStr">
        <is>
          <t>social_qcs</t>
        </is>
      </c>
      <c r="I58" s="5" t="inlineStr">
        <is>
          <t>general</t>
        </is>
      </c>
      <c r="J58" s="5" t="inlineStr">
        <is>
          <t>comunicacion_social.contactos_total</t>
        </is>
      </c>
      <c r="K58" s="5" t="inlineStr">
        <is>
          <t>Contactos Total</t>
        </is>
      </c>
      <c r="L58" s="5" t="inlineStr">
        <is>
          <t>number</t>
        </is>
      </c>
      <c r="M58" s="11" t="n">
        <v>5</v>
      </c>
      <c r="N58" s="5" t="n"/>
      <c r="O58" s="5" t="n"/>
      <c r="P58" s="5" t="n"/>
      <c r="Q58" s="5" t="inlineStr">
        <is>
          <t>n</t>
        </is>
      </c>
      <c r="R58" s="5" t="n"/>
      <c r="S58" s="5" t="n"/>
      <c r="T58" s="5" t="n"/>
      <c r="U58" s="5" t="inlineStr">
        <is>
          <t>Migración inicial</t>
        </is>
      </c>
    </row>
    <row r="59">
      <c r="A59" s="9" t="inlineStr">
        <is>
          <t>5b80e388-7c1</t>
        </is>
      </c>
      <c r="B59" s="5" t="inlineStr">
        <is>
          <t>SUB-comunicacion_social-2024-06</t>
        </is>
      </c>
      <c r="C59" s="5" t="inlineStr">
        <is>
          <t>2024-06</t>
        </is>
      </c>
      <c r="D59" s="27" t="n">
        <v>45444</v>
      </c>
      <c r="E59" s="5" t="inlineStr">
        <is>
          <t>comunicacion_social</t>
        </is>
      </c>
      <c r="F59" s="5" t="inlineStr">
        <is>
          <t>social_qcs</t>
        </is>
      </c>
      <c r="G59" s="5" t="inlineStr">
        <is>
          <t>QCS</t>
        </is>
      </c>
      <c r="H59" s="5" t="inlineStr">
        <is>
          <t>social_qcs</t>
        </is>
      </c>
      <c r="I59" s="5" t="inlineStr">
        <is>
          <t>general</t>
        </is>
      </c>
      <c r="J59" s="5" t="inlineStr">
        <is>
          <t>comunicacion_social.quejas</t>
        </is>
      </c>
      <c r="K59" s="5" t="inlineStr">
        <is>
          <t>Quejas</t>
        </is>
      </c>
      <c r="L59" s="5" t="inlineStr">
        <is>
          <t>number</t>
        </is>
      </c>
      <c r="M59" s="11" t="n">
        <v>5</v>
      </c>
      <c r="N59" s="5" t="n"/>
      <c r="O59" s="5" t="n"/>
      <c r="P59" s="5" t="n"/>
      <c r="Q59" s="5" t="inlineStr">
        <is>
          <t>n</t>
        </is>
      </c>
      <c r="R59" s="5" t="n"/>
      <c r="S59" s="5" t="n"/>
      <c r="T59" s="5" t="n"/>
      <c r="U59" s="5" t="inlineStr">
        <is>
          <t>Migración inicial</t>
        </is>
      </c>
    </row>
    <row r="60">
      <c r="A60" s="9" t="inlineStr">
        <is>
          <t>2cdf421b-a70</t>
        </is>
      </c>
      <c r="B60" s="5" t="inlineStr">
        <is>
          <t>SUB-comunicacion_social-2024-06</t>
        </is>
      </c>
      <c r="C60" s="5" t="inlineStr">
        <is>
          <t>2024-06</t>
        </is>
      </c>
      <c r="D60" s="27" t="n">
        <v>45444</v>
      </c>
      <c r="E60" s="5" t="inlineStr">
        <is>
          <t>comunicacion_social</t>
        </is>
      </c>
      <c r="F60" s="5" t="inlineStr">
        <is>
          <t>social_qcs</t>
        </is>
      </c>
      <c r="G60" s="5" t="inlineStr">
        <is>
          <t>QCS</t>
        </is>
      </c>
      <c r="H60" s="5" t="inlineStr">
        <is>
          <t>social_qcs</t>
        </is>
      </c>
      <c r="I60" s="5" t="inlineStr">
        <is>
          <t>general</t>
        </is>
      </c>
      <c r="J60" s="5" t="inlineStr">
        <is>
          <t>comunicacion_social.consultas</t>
        </is>
      </c>
      <c r="K60" s="5" t="inlineStr">
        <is>
          <t>Consultas</t>
        </is>
      </c>
      <c r="L60" s="5" t="inlineStr">
        <is>
          <t>number</t>
        </is>
      </c>
      <c r="M60" s="5" t="n"/>
      <c r="N60" s="5" t="n"/>
      <c r="O60" s="5" t="n"/>
      <c r="P60" s="5" t="n"/>
      <c r="Q60" s="5" t="inlineStr">
        <is>
          <t>n</t>
        </is>
      </c>
      <c r="R60" s="5" t="n"/>
      <c r="S60" s="5" t="n"/>
      <c r="T60" s="5" t="n"/>
      <c r="U60" s="5" t="inlineStr">
        <is>
          <t>Migración inicial</t>
        </is>
      </c>
    </row>
    <row r="61">
      <c r="A61" s="9" t="inlineStr">
        <is>
          <t>5f812381-7f9</t>
        </is>
      </c>
      <c r="B61" s="5" t="inlineStr">
        <is>
          <t>SUB-comunicacion_social-2024-06</t>
        </is>
      </c>
      <c r="C61" s="5" t="inlineStr">
        <is>
          <t>2024-06</t>
        </is>
      </c>
      <c r="D61" s="27" t="n">
        <v>45444</v>
      </c>
      <c r="E61" s="5" t="inlineStr">
        <is>
          <t>comunicacion_social</t>
        </is>
      </c>
      <c r="F61" s="5" t="inlineStr">
        <is>
          <t>social_qcs</t>
        </is>
      </c>
      <c r="G61" s="5" t="inlineStr">
        <is>
          <t>QCS</t>
        </is>
      </c>
      <c r="H61" s="5" t="inlineStr">
        <is>
          <t>social_qcs</t>
        </is>
      </c>
      <c r="I61" s="5" t="inlineStr">
        <is>
          <t>general</t>
        </is>
      </c>
      <c r="J61" s="5" t="inlineStr">
        <is>
          <t>comunicacion_social.sugerencias</t>
        </is>
      </c>
      <c r="K61" s="5" t="inlineStr">
        <is>
          <t>Sugerencias</t>
        </is>
      </c>
      <c r="L61" s="5" t="inlineStr">
        <is>
          <t>number</t>
        </is>
      </c>
      <c r="M61" s="5" t="n"/>
      <c r="N61" s="5" t="n"/>
      <c r="O61" s="5" t="n"/>
      <c r="P61" s="5" t="n"/>
      <c r="Q61" s="5" t="inlineStr">
        <is>
          <t>n</t>
        </is>
      </c>
      <c r="R61" s="5" t="n"/>
      <c r="S61" s="5" t="n"/>
      <c r="T61" s="5" t="n"/>
      <c r="U61" s="5" t="inlineStr">
        <is>
          <t>Migración inicial</t>
        </is>
      </c>
    </row>
    <row r="62">
      <c r="A62" s="9" t="inlineStr">
        <is>
          <t>58e87eae-8b6</t>
        </is>
      </c>
      <c r="B62" s="5" t="inlineStr">
        <is>
          <t>SUB-comunicacion_social-2024-06</t>
        </is>
      </c>
      <c r="C62" s="5" t="inlineStr">
        <is>
          <t>2024-06</t>
        </is>
      </c>
      <c r="D62" s="27" t="n">
        <v>45444</v>
      </c>
      <c r="E62" s="5" t="inlineStr">
        <is>
          <t>comunicacion_social</t>
        </is>
      </c>
      <c r="F62" s="5" t="inlineStr">
        <is>
          <t>social_qcs</t>
        </is>
      </c>
      <c r="G62" s="5" t="inlineStr">
        <is>
          <t>QCS</t>
        </is>
      </c>
      <c r="H62" s="5" t="inlineStr">
        <is>
          <t>social_qcs</t>
        </is>
      </c>
      <c r="I62" s="5" t="inlineStr">
        <is>
          <t>general</t>
        </is>
      </c>
      <c r="J62" s="5" t="inlineStr">
        <is>
          <t>comunicacion_social.contactos_total</t>
        </is>
      </c>
      <c r="K62" s="5" t="inlineStr">
        <is>
          <t>Contactos Total</t>
        </is>
      </c>
      <c r="L62" s="5" t="inlineStr">
        <is>
          <t>number</t>
        </is>
      </c>
      <c r="M62" s="11" t="n">
        <v>5</v>
      </c>
      <c r="N62" s="5" t="n"/>
      <c r="O62" s="5" t="n"/>
      <c r="P62" s="5" t="n"/>
      <c r="Q62" s="5" t="inlineStr">
        <is>
          <t>n</t>
        </is>
      </c>
      <c r="R62" s="5" t="n"/>
      <c r="S62" s="5" t="n"/>
      <c r="T62" s="5" t="n"/>
      <c r="U62" s="5" t="inlineStr">
        <is>
          <t>Migración inicial</t>
        </is>
      </c>
    </row>
    <row r="63">
      <c r="A63" s="9" t="inlineStr">
        <is>
          <t>06ebaf7f-aa6</t>
        </is>
      </c>
      <c r="B63" s="5" t="inlineStr">
        <is>
          <t>SUB-comunicacion_social-2024-07</t>
        </is>
      </c>
      <c r="C63" s="5" t="inlineStr">
        <is>
          <t>2024-07</t>
        </is>
      </c>
      <c r="D63" s="27" t="n">
        <v>45474</v>
      </c>
      <c r="E63" s="5" t="inlineStr">
        <is>
          <t>comunicacion_social</t>
        </is>
      </c>
      <c r="F63" s="5" t="inlineStr">
        <is>
          <t>social_qcs</t>
        </is>
      </c>
      <c r="G63" s="5" t="inlineStr">
        <is>
          <t>QCS</t>
        </is>
      </c>
      <c r="H63" s="5" t="inlineStr">
        <is>
          <t>social_qcs</t>
        </is>
      </c>
      <c r="I63" s="5" t="inlineStr">
        <is>
          <t>general</t>
        </is>
      </c>
      <c r="J63" s="5" t="inlineStr">
        <is>
          <t>comunicacion_social.quejas</t>
        </is>
      </c>
      <c r="K63" s="5" t="inlineStr">
        <is>
          <t>Quejas</t>
        </is>
      </c>
      <c r="L63" s="5" t="inlineStr">
        <is>
          <t>number</t>
        </is>
      </c>
      <c r="M63" s="11" t="n">
        <v>7</v>
      </c>
      <c r="N63" s="5" t="n"/>
      <c r="O63" s="5" t="n"/>
      <c r="P63" s="5" t="n"/>
      <c r="Q63" s="5" t="inlineStr">
        <is>
          <t>n</t>
        </is>
      </c>
      <c r="R63" s="5" t="n"/>
      <c r="S63" s="5" t="n"/>
      <c r="T63" s="5" t="n"/>
      <c r="U63" s="5" t="inlineStr">
        <is>
          <t>Migración inicial</t>
        </is>
      </c>
    </row>
    <row r="64">
      <c r="A64" s="9" t="inlineStr">
        <is>
          <t>ae4d916f-6d4</t>
        </is>
      </c>
      <c r="B64" s="5" t="inlineStr">
        <is>
          <t>SUB-comunicacion_social-2024-07</t>
        </is>
      </c>
      <c r="C64" s="5" t="inlineStr">
        <is>
          <t>2024-07</t>
        </is>
      </c>
      <c r="D64" s="27" t="n">
        <v>45474</v>
      </c>
      <c r="E64" s="5" t="inlineStr">
        <is>
          <t>comunicacion_social</t>
        </is>
      </c>
      <c r="F64" s="5" t="inlineStr">
        <is>
          <t>social_qcs</t>
        </is>
      </c>
      <c r="G64" s="5" t="inlineStr">
        <is>
          <t>QCS</t>
        </is>
      </c>
      <c r="H64" s="5" t="inlineStr">
        <is>
          <t>social_qcs</t>
        </is>
      </c>
      <c r="I64" s="5" t="inlineStr">
        <is>
          <t>general</t>
        </is>
      </c>
      <c r="J64" s="5" t="inlineStr">
        <is>
          <t>comunicacion_social.consultas</t>
        </is>
      </c>
      <c r="K64" s="5" t="inlineStr">
        <is>
          <t>Consultas</t>
        </is>
      </c>
      <c r="L64" s="5" t="inlineStr">
        <is>
          <t>number</t>
        </is>
      </c>
      <c r="M64" s="5" t="n"/>
      <c r="N64" s="5" t="n"/>
      <c r="O64" s="5" t="n"/>
      <c r="P64" s="5" t="n"/>
      <c r="Q64" s="5" t="inlineStr">
        <is>
          <t>n</t>
        </is>
      </c>
      <c r="R64" s="5" t="n"/>
      <c r="S64" s="5" t="n"/>
      <c r="T64" s="5" t="n"/>
      <c r="U64" s="5" t="inlineStr">
        <is>
          <t>Migración inicial</t>
        </is>
      </c>
    </row>
    <row r="65">
      <c r="A65" s="9" t="inlineStr">
        <is>
          <t>f4310927-b17</t>
        </is>
      </c>
      <c r="B65" s="5" t="inlineStr">
        <is>
          <t>SUB-comunicacion_social-2024-07</t>
        </is>
      </c>
      <c r="C65" s="5" t="inlineStr">
        <is>
          <t>2024-07</t>
        </is>
      </c>
      <c r="D65" s="27" t="n">
        <v>45474</v>
      </c>
      <c r="E65" s="5" t="inlineStr">
        <is>
          <t>comunicacion_social</t>
        </is>
      </c>
      <c r="F65" s="5" t="inlineStr">
        <is>
          <t>social_qcs</t>
        </is>
      </c>
      <c r="G65" s="5" t="inlineStr">
        <is>
          <t>QCS</t>
        </is>
      </c>
      <c r="H65" s="5" t="inlineStr">
        <is>
          <t>social_qcs</t>
        </is>
      </c>
      <c r="I65" s="5" t="inlineStr">
        <is>
          <t>general</t>
        </is>
      </c>
      <c r="J65" s="5" t="inlineStr">
        <is>
          <t>comunicacion_social.sugerencias</t>
        </is>
      </c>
      <c r="K65" s="5" t="inlineStr">
        <is>
          <t>Sugerencias</t>
        </is>
      </c>
      <c r="L65" s="5" t="inlineStr">
        <is>
          <t>number</t>
        </is>
      </c>
      <c r="M65" s="5" t="n"/>
      <c r="N65" s="5" t="n"/>
      <c r="O65" s="5" t="n"/>
      <c r="P65" s="5" t="n"/>
      <c r="Q65" s="5" t="inlineStr">
        <is>
          <t>n</t>
        </is>
      </c>
      <c r="R65" s="5" t="n"/>
      <c r="S65" s="5" t="n"/>
      <c r="T65" s="5" t="n"/>
      <c r="U65" s="5" t="inlineStr">
        <is>
          <t>Migración inicial</t>
        </is>
      </c>
    </row>
    <row r="66">
      <c r="A66" s="9" t="inlineStr">
        <is>
          <t>019503e1-797</t>
        </is>
      </c>
      <c r="B66" s="5" t="inlineStr">
        <is>
          <t>SUB-comunicacion_social-2024-07</t>
        </is>
      </c>
      <c r="C66" s="5" t="inlineStr">
        <is>
          <t>2024-07</t>
        </is>
      </c>
      <c r="D66" s="27" t="n">
        <v>45474</v>
      </c>
      <c r="E66" s="5" t="inlineStr">
        <is>
          <t>comunicacion_social</t>
        </is>
      </c>
      <c r="F66" s="5" t="inlineStr">
        <is>
          <t>social_qcs</t>
        </is>
      </c>
      <c r="G66" s="5" t="inlineStr">
        <is>
          <t>QCS</t>
        </is>
      </c>
      <c r="H66" s="5" t="inlineStr">
        <is>
          <t>social_qcs</t>
        </is>
      </c>
      <c r="I66" s="5" t="inlineStr">
        <is>
          <t>general</t>
        </is>
      </c>
      <c r="J66" s="5" t="inlineStr">
        <is>
          <t>comunicacion_social.contactos_total</t>
        </is>
      </c>
      <c r="K66" s="5" t="inlineStr">
        <is>
          <t>Contactos Total</t>
        </is>
      </c>
      <c r="L66" s="5" t="inlineStr">
        <is>
          <t>number</t>
        </is>
      </c>
      <c r="M66" s="11" t="n">
        <v>7</v>
      </c>
      <c r="N66" s="5" t="n"/>
      <c r="O66" s="5" t="n"/>
      <c r="P66" s="5" t="n"/>
      <c r="Q66" s="5" t="inlineStr">
        <is>
          <t>n</t>
        </is>
      </c>
      <c r="R66" s="5" t="n"/>
      <c r="S66" s="5" t="n"/>
      <c r="T66" s="5" t="n"/>
      <c r="U66" s="5" t="inlineStr">
        <is>
          <t>Migración inicial</t>
        </is>
      </c>
    </row>
    <row r="67">
      <c r="A67" s="9" t="inlineStr">
        <is>
          <t>c15dfa41-b0e</t>
        </is>
      </c>
      <c r="B67" s="5" t="inlineStr">
        <is>
          <t>SUB-comunicacion_social-2024-08</t>
        </is>
      </c>
      <c r="C67" s="5" t="inlineStr">
        <is>
          <t>2024-08</t>
        </is>
      </c>
      <c r="D67" s="27" t="n">
        <v>45505</v>
      </c>
      <c r="E67" s="5" t="inlineStr">
        <is>
          <t>comunicacion_social</t>
        </is>
      </c>
      <c r="F67" s="5" t="inlineStr">
        <is>
          <t>social_qcs</t>
        </is>
      </c>
      <c r="G67" s="5" t="inlineStr">
        <is>
          <t>QCS</t>
        </is>
      </c>
      <c r="H67" s="5" t="inlineStr">
        <is>
          <t>social_qcs</t>
        </is>
      </c>
      <c r="I67" s="5" t="inlineStr">
        <is>
          <t>general</t>
        </is>
      </c>
      <c r="J67" s="5" t="inlineStr">
        <is>
          <t>comunicacion_social.quejas</t>
        </is>
      </c>
      <c r="K67" s="5" t="inlineStr">
        <is>
          <t>Quejas</t>
        </is>
      </c>
      <c r="L67" s="5" t="inlineStr">
        <is>
          <t>number</t>
        </is>
      </c>
      <c r="M67" s="11" t="n">
        <v>14</v>
      </c>
      <c r="N67" s="5" t="n"/>
      <c r="O67" s="5" t="n"/>
      <c r="P67" s="5" t="n"/>
      <c r="Q67" s="5" t="inlineStr">
        <is>
          <t>n</t>
        </is>
      </c>
      <c r="R67" s="5" t="n"/>
      <c r="S67" s="5" t="n"/>
      <c r="T67" s="5" t="n"/>
      <c r="U67" s="5" t="inlineStr">
        <is>
          <t>Migración inicial</t>
        </is>
      </c>
    </row>
    <row r="68">
      <c r="A68" s="9" t="inlineStr">
        <is>
          <t>2bc987bf-d88</t>
        </is>
      </c>
      <c r="B68" s="5" t="inlineStr">
        <is>
          <t>SUB-comunicacion_social-2024-08</t>
        </is>
      </c>
      <c r="C68" s="5" t="inlineStr">
        <is>
          <t>2024-08</t>
        </is>
      </c>
      <c r="D68" s="27" t="n">
        <v>45505</v>
      </c>
      <c r="E68" s="5" t="inlineStr">
        <is>
          <t>comunicacion_social</t>
        </is>
      </c>
      <c r="F68" s="5" t="inlineStr">
        <is>
          <t>social_qcs</t>
        </is>
      </c>
      <c r="G68" s="5" t="inlineStr">
        <is>
          <t>QCS</t>
        </is>
      </c>
      <c r="H68" s="5" t="inlineStr">
        <is>
          <t>social_qcs</t>
        </is>
      </c>
      <c r="I68" s="5" t="inlineStr">
        <is>
          <t>general</t>
        </is>
      </c>
      <c r="J68" s="5" t="inlineStr">
        <is>
          <t>comunicacion_social.consultas</t>
        </is>
      </c>
      <c r="K68" s="5" t="inlineStr">
        <is>
          <t>Consultas</t>
        </is>
      </c>
      <c r="L68" s="5" t="inlineStr">
        <is>
          <t>number</t>
        </is>
      </c>
      <c r="M68" s="5" t="n"/>
      <c r="N68" s="5" t="n"/>
      <c r="O68" s="5" t="n"/>
      <c r="P68" s="5" t="n"/>
      <c r="Q68" s="5" t="inlineStr">
        <is>
          <t>n</t>
        </is>
      </c>
      <c r="R68" s="5" t="n"/>
      <c r="S68" s="5" t="n"/>
      <c r="T68" s="5" t="n"/>
      <c r="U68" s="5" t="inlineStr">
        <is>
          <t>Migración inicial</t>
        </is>
      </c>
    </row>
    <row r="69">
      <c r="A69" s="9" t="inlineStr">
        <is>
          <t>f0a92e6c-b92</t>
        </is>
      </c>
      <c r="B69" s="5" t="inlineStr">
        <is>
          <t>SUB-comunicacion_social-2024-08</t>
        </is>
      </c>
      <c r="C69" s="5" t="inlineStr">
        <is>
          <t>2024-08</t>
        </is>
      </c>
      <c r="D69" s="27" t="n">
        <v>45505</v>
      </c>
      <c r="E69" s="5" t="inlineStr">
        <is>
          <t>comunicacion_social</t>
        </is>
      </c>
      <c r="F69" s="5" t="inlineStr">
        <is>
          <t>social_qcs</t>
        </is>
      </c>
      <c r="G69" s="5" t="inlineStr">
        <is>
          <t>QCS</t>
        </is>
      </c>
      <c r="H69" s="5" t="inlineStr">
        <is>
          <t>social_qcs</t>
        </is>
      </c>
      <c r="I69" s="5" t="inlineStr">
        <is>
          <t>general</t>
        </is>
      </c>
      <c r="J69" s="5" t="inlineStr">
        <is>
          <t>comunicacion_social.sugerencias</t>
        </is>
      </c>
      <c r="K69" s="5" t="inlineStr">
        <is>
          <t>Sugerencias</t>
        </is>
      </c>
      <c r="L69" s="5" t="inlineStr">
        <is>
          <t>number</t>
        </is>
      </c>
      <c r="M69" s="5" t="n"/>
      <c r="N69" s="5" t="n"/>
      <c r="O69" s="5" t="n"/>
      <c r="P69" s="5" t="n"/>
      <c r="Q69" s="5" t="inlineStr">
        <is>
          <t>n</t>
        </is>
      </c>
      <c r="R69" s="5" t="n"/>
      <c r="S69" s="5" t="n"/>
      <c r="T69" s="5" t="n"/>
      <c r="U69" s="5" t="inlineStr">
        <is>
          <t>Migración inicial</t>
        </is>
      </c>
    </row>
    <row r="70">
      <c r="A70" s="9" t="inlineStr">
        <is>
          <t>267300dd-572</t>
        </is>
      </c>
      <c r="B70" s="5" t="inlineStr">
        <is>
          <t>SUB-comunicacion_social-2024-08</t>
        </is>
      </c>
      <c r="C70" s="5" t="inlineStr">
        <is>
          <t>2024-08</t>
        </is>
      </c>
      <c r="D70" s="27" t="n">
        <v>45505</v>
      </c>
      <c r="E70" s="5" t="inlineStr">
        <is>
          <t>comunicacion_social</t>
        </is>
      </c>
      <c r="F70" s="5" t="inlineStr">
        <is>
          <t>social_qcs</t>
        </is>
      </c>
      <c r="G70" s="5" t="inlineStr">
        <is>
          <t>QCS</t>
        </is>
      </c>
      <c r="H70" s="5" t="inlineStr">
        <is>
          <t>social_qcs</t>
        </is>
      </c>
      <c r="I70" s="5" t="inlineStr">
        <is>
          <t>general</t>
        </is>
      </c>
      <c r="J70" s="5" t="inlineStr">
        <is>
          <t>comunicacion_social.contactos_total</t>
        </is>
      </c>
      <c r="K70" s="5" t="inlineStr">
        <is>
          <t>Contactos Total</t>
        </is>
      </c>
      <c r="L70" s="5" t="inlineStr">
        <is>
          <t>number</t>
        </is>
      </c>
      <c r="M70" s="11" t="n">
        <v>14</v>
      </c>
      <c r="N70" s="5" t="n"/>
      <c r="O70" s="5" t="n"/>
      <c r="P70" s="5" t="n"/>
      <c r="Q70" s="5" t="inlineStr">
        <is>
          <t>n</t>
        </is>
      </c>
      <c r="R70" s="5" t="n"/>
      <c r="S70" s="5" t="n"/>
      <c r="T70" s="5" t="n"/>
      <c r="U70" s="5" t="inlineStr">
        <is>
          <t>Migración inicial</t>
        </is>
      </c>
    </row>
    <row r="71">
      <c r="A71" s="9" t="inlineStr">
        <is>
          <t>e64a2f78-3c3</t>
        </is>
      </c>
      <c r="B71" s="5" t="inlineStr">
        <is>
          <t>SUB-comunicacion_social-2024-09</t>
        </is>
      </c>
      <c r="C71" s="5" t="inlineStr">
        <is>
          <t>2024-09</t>
        </is>
      </c>
      <c r="D71" s="27" t="n">
        <v>45536</v>
      </c>
      <c r="E71" s="5" t="inlineStr">
        <is>
          <t>comunicacion_social</t>
        </is>
      </c>
      <c r="F71" s="5" t="inlineStr">
        <is>
          <t>social_qcs</t>
        </is>
      </c>
      <c r="G71" s="5" t="inlineStr">
        <is>
          <t>QCS</t>
        </is>
      </c>
      <c r="H71" s="5" t="inlineStr">
        <is>
          <t>social_qcs</t>
        </is>
      </c>
      <c r="I71" s="5" t="inlineStr">
        <is>
          <t>general</t>
        </is>
      </c>
      <c r="J71" s="5" t="inlineStr">
        <is>
          <t>comunicacion_social.quejas</t>
        </is>
      </c>
      <c r="K71" s="5" t="inlineStr">
        <is>
          <t>Quejas</t>
        </is>
      </c>
      <c r="L71" s="5" t="inlineStr">
        <is>
          <t>number</t>
        </is>
      </c>
      <c r="M71" s="11" t="n">
        <v>14</v>
      </c>
      <c r="N71" s="5" t="n"/>
      <c r="O71" s="5" t="n"/>
      <c r="P71" s="5" t="n"/>
      <c r="Q71" s="5" t="inlineStr">
        <is>
          <t>n</t>
        </is>
      </c>
      <c r="R71" s="5" t="n"/>
      <c r="S71" s="5" t="n"/>
      <c r="T71" s="5" t="n"/>
      <c r="U71" s="5" t="inlineStr">
        <is>
          <t>Migración inicial</t>
        </is>
      </c>
    </row>
    <row r="72">
      <c r="A72" s="9" t="inlineStr">
        <is>
          <t>f193e38f-2f6</t>
        </is>
      </c>
      <c r="B72" s="5" t="inlineStr">
        <is>
          <t>SUB-comunicacion_social-2024-09</t>
        </is>
      </c>
      <c r="C72" s="5" t="inlineStr">
        <is>
          <t>2024-09</t>
        </is>
      </c>
      <c r="D72" s="27" t="n">
        <v>45536</v>
      </c>
      <c r="E72" s="5" t="inlineStr">
        <is>
          <t>comunicacion_social</t>
        </is>
      </c>
      <c r="F72" s="5" t="inlineStr">
        <is>
          <t>social_qcs</t>
        </is>
      </c>
      <c r="G72" s="5" t="inlineStr">
        <is>
          <t>QCS</t>
        </is>
      </c>
      <c r="H72" s="5" t="inlineStr">
        <is>
          <t>social_qcs</t>
        </is>
      </c>
      <c r="I72" s="5" t="inlineStr">
        <is>
          <t>general</t>
        </is>
      </c>
      <c r="J72" s="5" t="inlineStr">
        <is>
          <t>comunicacion_social.consultas</t>
        </is>
      </c>
      <c r="K72" s="5" t="inlineStr">
        <is>
          <t>Consultas</t>
        </is>
      </c>
      <c r="L72" s="5" t="inlineStr">
        <is>
          <t>number</t>
        </is>
      </c>
      <c r="M72" s="5" t="n"/>
      <c r="N72" s="5" t="n"/>
      <c r="O72" s="5" t="n"/>
      <c r="P72" s="5" t="n"/>
      <c r="Q72" s="5" t="inlineStr">
        <is>
          <t>n</t>
        </is>
      </c>
      <c r="R72" s="5" t="n"/>
      <c r="S72" s="5" t="n"/>
      <c r="T72" s="5" t="n"/>
      <c r="U72" s="5" t="inlineStr">
        <is>
          <t>Migración inicial</t>
        </is>
      </c>
    </row>
    <row r="73">
      <c r="A73" s="9" t="inlineStr">
        <is>
          <t>e1e4bdee-95e</t>
        </is>
      </c>
      <c r="B73" s="5" t="inlineStr">
        <is>
          <t>SUB-comunicacion_social-2024-09</t>
        </is>
      </c>
      <c r="C73" s="5" t="inlineStr">
        <is>
          <t>2024-09</t>
        </is>
      </c>
      <c r="D73" s="27" t="n">
        <v>45536</v>
      </c>
      <c r="E73" s="5" t="inlineStr">
        <is>
          <t>comunicacion_social</t>
        </is>
      </c>
      <c r="F73" s="5" t="inlineStr">
        <is>
          <t>social_qcs</t>
        </is>
      </c>
      <c r="G73" s="5" t="inlineStr">
        <is>
          <t>QCS</t>
        </is>
      </c>
      <c r="H73" s="5" t="inlineStr">
        <is>
          <t>social_qcs</t>
        </is>
      </c>
      <c r="I73" s="5" t="inlineStr">
        <is>
          <t>general</t>
        </is>
      </c>
      <c r="J73" s="5" t="inlineStr">
        <is>
          <t>comunicacion_social.sugerencias</t>
        </is>
      </c>
      <c r="K73" s="5" t="inlineStr">
        <is>
          <t>Sugerencias</t>
        </is>
      </c>
      <c r="L73" s="5" t="inlineStr">
        <is>
          <t>number</t>
        </is>
      </c>
      <c r="M73" s="5" t="n"/>
      <c r="N73" s="5" t="n"/>
      <c r="O73" s="5" t="n"/>
      <c r="P73" s="5" t="n"/>
      <c r="Q73" s="5" t="inlineStr">
        <is>
          <t>n</t>
        </is>
      </c>
      <c r="R73" s="5" t="n"/>
      <c r="S73" s="5" t="n"/>
      <c r="T73" s="5" t="n"/>
      <c r="U73" s="5" t="inlineStr">
        <is>
          <t>Migración inicial</t>
        </is>
      </c>
    </row>
    <row r="74">
      <c r="A74" s="9" t="inlineStr">
        <is>
          <t>a2db1692-474</t>
        </is>
      </c>
      <c r="B74" s="5" t="inlineStr">
        <is>
          <t>SUB-comunicacion_social-2024-09</t>
        </is>
      </c>
      <c r="C74" s="5" t="inlineStr">
        <is>
          <t>2024-09</t>
        </is>
      </c>
      <c r="D74" s="27" t="n">
        <v>45536</v>
      </c>
      <c r="E74" s="5" t="inlineStr">
        <is>
          <t>comunicacion_social</t>
        </is>
      </c>
      <c r="F74" s="5" t="inlineStr">
        <is>
          <t>social_qcs</t>
        </is>
      </c>
      <c r="G74" s="5" t="inlineStr">
        <is>
          <t>QCS</t>
        </is>
      </c>
      <c r="H74" s="5" t="inlineStr">
        <is>
          <t>social_qcs</t>
        </is>
      </c>
      <c r="I74" s="5" t="inlineStr">
        <is>
          <t>general</t>
        </is>
      </c>
      <c r="J74" s="5" t="inlineStr">
        <is>
          <t>comunicacion_social.contactos_total</t>
        </is>
      </c>
      <c r="K74" s="5" t="inlineStr">
        <is>
          <t>Contactos Total</t>
        </is>
      </c>
      <c r="L74" s="5" t="inlineStr">
        <is>
          <t>number</t>
        </is>
      </c>
      <c r="M74" s="11" t="n">
        <v>14</v>
      </c>
      <c r="N74" s="5" t="n"/>
      <c r="O74" s="5" t="n"/>
      <c r="P74" s="5" t="n"/>
      <c r="Q74" s="5" t="inlineStr">
        <is>
          <t>n</t>
        </is>
      </c>
      <c r="R74" s="5" t="n"/>
      <c r="S74" s="5" t="n"/>
      <c r="T74" s="5" t="n"/>
      <c r="U74" s="5" t="inlineStr">
        <is>
          <t>Migración inicial</t>
        </is>
      </c>
    </row>
    <row r="75">
      <c r="A75" s="9" t="inlineStr">
        <is>
          <t>a974ec68-46d</t>
        </is>
      </c>
      <c r="B75" s="5" t="inlineStr">
        <is>
          <t>SUB-comunicacion_social-2024-10</t>
        </is>
      </c>
      <c r="C75" s="5" t="inlineStr">
        <is>
          <t>2024-10</t>
        </is>
      </c>
      <c r="D75" s="27" t="n">
        <v>45566</v>
      </c>
      <c r="E75" s="5" t="inlineStr">
        <is>
          <t>comunicacion_social</t>
        </is>
      </c>
      <c r="F75" s="5" t="inlineStr">
        <is>
          <t>social_qcs</t>
        </is>
      </c>
      <c r="G75" s="5" t="inlineStr">
        <is>
          <t>QCS</t>
        </is>
      </c>
      <c r="H75" s="5" t="inlineStr">
        <is>
          <t>social_qcs</t>
        </is>
      </c>
      <c r="I75" s="5" t="inlineStr">
        <is>
          <t>general</t>
        </is>
      </c>
      <c r="J75" s="5" t="inlineStr">
        <is>
          <t>comunicacion_social.quejas</t>
        </is>
      </c>
      <c r="K75" s="5" t="inlineStr">
        <is>
          <t>Quejas</t>
        </is>
      </c>
      <c r="L75" s="5" t="inlineStr">
        <is>
          <t>number</t>
        </is>
      </c>
      <c r="M75" s="11" t="n">
        <v>29</v>
      </c>
      <c r="N75" s="5" t="n"/>
      <c r="O75" s="5" t="n"/>
      <c r="P75" s="5" t="n"/>
      <c r="Q75" s="5" t="inlineStr">
        <is>
          <t>n</t>
        </is>
      </c>
      <c r="R75" s="5" t="n"/>
      <c r="S75" s="5" t="n"/>
      <c r="T75" s="5" t="n"/>
      <c r="U75" s="5" t="inlineStr">
        <is>
          <t>Migración inicial</t>
        </is>
      </c>
    </row>
    <row r="76">
      <c r="A76" s="9" t="inlineStr">
        <is>
          <t>f99fdd86-358</t>
        </is>
      </c>
      <c r="B76" s="5" t="inlineStr">
        <is>
          <t>SUB-comunicacion_social-2024-10</t>
        </is>
      </c>
      <c r="C76" s="5" t="inlineStr">
        <is>
          <t>2024-10</t>
        </is>
      </c>
      <c r="D76" s="27" t="n">
        <v>45566</v>
      </c>
      <c r="E76" s="5" t="inlineStr">
        <is>
          <t>comunicacion_social</t>
        </is>
      </c>
      <c r="F76" s="5" t="inlineStr">
        <is>
          <t>social_qcs</t>
        </is>
      </c>
      <c r="G76" s="5" t="inlineStr">
        <is>
          <t>QCS</t>
        </is>
      </c>
      <c r="H76" s="5" t="inlineStr">
        <is>
          <t>social_qcs</t>
        </is>
      </c>
      <c r="I76" s="5" t="inlineStr">
        <is>
          <t>general</t>
        </is>
      </c>
      <c r="J76" s="5" t="inlineStr">
        <is>
          <t>comunicacion_social.consultas</t>
        </is>
      </c>
      <c r="K76" s="5" t="inlineStr">
        <is>
          <t>Consultas</t>
        </is>
      </c>
      <c r="L76" s="5" t="inlineStr">
        <is>
          <t>number</t>
        </is>
      </c>
      <c r="M76" s="5" t="n"/>
      <c r="N76" s="5" t="n"/>
      <c r="O76" s="5" t="n"/>
      <c r="P76" s="5" t="n"/>
      <c r="Q76" s="5" t="inlineStr">
        <is>
          <t>n</t>
        </is>
      </c>
      <c r="R76" s="5" t="n"/>
      <c r="S76" s="5" t="n"/>
      <c r="T76" s="5" t="n"/>
      <c r="U76" s="5" t="inlineStr">
        <is>
          <t>Migración inicial</t>
        </is>
      </c>
    </row>
    <row r="77">
      <c r="A77" s="9" t="inlineStr">
        <is>
          <t>0d8f70f2-7d3</t>
        </is>
      </c>
      <c r="B77" s="5" t="inlineStr">
        <is>
          <t>SUB-comunicacion_social-2024-10</t>
        </is>
      </c>
      <c r="C77" s="5" t="inlineStr">
        <is>
          <t>2024-10</t>
        </is>
      </c>
      <c r="D77" s="27" t="n">
        <v>45566</v>
      </c>
      <c r="E77" s="5" t="inlineStr">
        <is>
          <t>comunicacion_social</t>
        </is>
      </c>
      <c r="F77" s="5" t="inlineStr">
        <is>
          <t>social_qcs</t>
        </is>
      </c>
      <c r="G77" s="5" t="inlineStr">
        <is>
          <t>QCS</t>
        </is>
      </c>
      <c r="H77" s="5" t="inlineStr">
        <is>
          <t>social_qcs</t>
        </is>
      </c>
      <c r="I77" s="5" t="inlineStr">
        <is>
          <t>general</t>
        </is>
      </c>
      <c r="J77" s="5" t="inlineStr">
        <is>
          <t>comunicacion_social.sugerencias</t>
        </is>
      </c>
      <c r="K77" s="5" t="inlineStr">
        <is>
          <t>Sugerencias</t>
        </is>
      </c>
      <c r="L77" s="5" t="inlineStr">
        <is>
          <t>number</t>
        </is>
      </c>
      <c r="M77" s="5" t="n"/>
      <c r="N77" s="5" t="n"/>
      <c r="O77" s="5" t="n"/>
      <c r="P77" s="5" t="n"/>
      <c r="Q77" s="5" t="inlineStr">
        <is>
          <t>n</t>
        </is>
      </c>
      <c r="R77" s="5" t="n"/>
      <c r="S77" s="5" t="n"/>
      <c r="T77" s="5" t="n"/>
      <c r="U77" s="5" t="inlineStr">
        <is>
          <t>Migración inicial</t>
        </is>
      </c>
    </row>
    <row r="78">
      <c r="A78" s="9" t="inlineStr">
        <is>
          <t>895d87be-b16</t>
        </is>
      </c>
      <c r="B78" s="5" t="inlineStr">
        <is>
          <t>SUB-comunicacion_social-2024-10</t>
        </is>
      </c>
      <c r="C78" s="5" t="inlineStr">
        <is>
          <t>2024-10</t>
        </is>
      </c>
      <c r="D78" s="27" t="n">
        <v>45566</v>
      </c>
      <c r="E78" s="5" t="inlineStr">
        <is>
          <t>comunicacion_social</t>
        </is>
      </c>
      <c r="F78" s="5" t="inlineStr">
        <is>
          <t>social_qcs</t>
        </is>
      </c>
      <c r="G78" s="5" t="inlineStr">
        <is>
          <t>QCS</t>
        </is>
      </c>
      <c r="H78" s="5" t="inlineStr">
        <is>
          <t>social_qcs</t>
        </is>
      </c>
      <c r="I78" s="5" t="inlineStr">
        <is>
          <t>general</t>
        </is>
      </c>
      <c r="J78" s="5" t="inlineStr">
        <is>
          <t>comunicacion_social.contactos_total</t>
        </is>
      </c>
      <c r="K78" s="5" t="inlineStr">
        <is>
          <t>Contactos Total</t>
        </is>
      </c>
      <c r="L78" s="5" t="inlineStr">
        <is>
          <t>number</t>
        </is>
      </c>
      <c r="M78" s="11" t="n">
        <v>29</v>
      </c>
      <c r="N78" s="5" t="n"/>
      <c r="O78" s="5" t="n"/>
      <c r="P78" s="5" t="n"/>
      <c r="Q78" s="5" t="inlineStr">
        <is>
          <t>n</t>
        </is>
      </c>
      <c r="R78" s="5" t="n"/>
      <c r="S78" s="5" t="n"/>
      <c r="T78" s="5" t="n"/>
      <c r="U78" s="5" t="inlineStr">
        <is>
          <t>Migración inicial</t>
        </is>
      </c>
    </row>
    <row r="79">
      <c r="A79" s="9" t="inlineStr">
        <is>
          <t>cc688617-91b</t>
        </is>
      </c>
      <c r="B79" s="5" t="inlineStr">
        <is>
          <t>SUB-comunicacion_social-2024-11</t>
        </is>
      </c>
      <c r="C79" s="5" t="inlineStr">
        <is>
          <t>2024-11</t>
        </is>
      </c>
      <c r="D79" s="27" t="n">
        <v>45597</v>
      </c>
      <c r="E79" s="5" t="inlineStr">
        <is>
          <t>comunicacion_social</t>
        </is>
      </c>
      <c r="F79" s="5" t="inlineStr">
        <is>
          <t>social_qcs</t>
        </is>
      </c>
      <c r="G79" s="5" t="inlineStr">
        <is>
          <t>QCS</t>
        </is>
      </c>
      <c r="H79" s="5" t="inlineStr">
        <is>
          <t>social_qcs</t>
        </is>
      </c>
      <c r="I79" s="5" t="inlineStr">
        <is>
          <t>general</t>
        </is>
      </c>
      <c r="J79" s="5" t="inlineStr">
        <is>
          <t>comunicacion_social.quejas</t>
        </is>
      </c>
      <c r="K79" s="5" t="inlineStr">
        <is>
          <t>Quejas</t>
        </is>
      </c>
      <c r="L79" s="5" t="inlineStr">
        <is>
          <t>number</t>
        </is>
      </c>
      <c r="M79" s="11" t="n">
        <v>16</v>
      </c>
      <c r="N79" s="5" t="n"/>
      <c r="O79" s="5" t="n"/>
      <c r="P79" s="5" t="n"/>
      <c r="Q79" s="5" t="inlineStr">
        <is>
          <t>n</t>
        </is>
      </c>
      <c r="R79" s="5" t="n"/>
      <c r="S79" s="5" t="n"/>
      <c r="T79" s="5" t="n"/>
      <c r="U79" s="5" t="inlineStr">
        <is>
          <t>Migración inicial</t>
        </is>
      </c>
    </row>
    <row r="80">
      <c r="A80" s="9" t="inlineStr">
        <is>
          <t>ae853632-08e</t>
        </is>
      </c>
      <c r="B80" s="5" t="inlineStr">
        <is>
          <t>SUB-comunicacion_social-2024-11</t>
        </is>
      </c>
      <c r="C80" s="5" t="inlineStr">
        <is>
          <t>2024-11</t>
        </is>
      </c>
      <c r="D80" s="27" t="n">
        <v>45597</v>
      </c>
      <c r="E80" s="5" t="inlineStr">
        <is>
          <t>comunicacion_social</t>
        </is>
      </c>
      <c r="F80" s="5" t="inlineStr">
        <is>
          <t>social_qcs</t>
        </is>
      </c>
      <c r="G80" s="5" t="inlineStr">
        <is>
          <t>QCS</t>
        </is>
      </c>
      <c r="H80" s="5" t="inlineStr">
        <is>
          <t>social_qcs</t>
        </is>
      </c>
      <c r="I80" s="5" t="inlineStr">
        <is>
          <t>general</t>
        </is>
      </c>
      <c r="J80" s="5" t="inlineStr">
        <is>
          <t>comunicacion_social.consultas</t>
        </is>
      </c>
      <c r="K80" s="5" t="inlineStr">
        <is>
          <t>Consultas</t>
        </is>
      </c>
      <c r="L80" s="5" t="inlineStr">
        <is>
          <t>number</t>
        </is>
      </c>
      <c r="M80" s="5" t="n"/>
      <c r="N80" s="5" t="n"/>
      <c r="O80" s="5" t="n"/>
      <c r="P80" s="5" t="n"/>
      <c r="Q80" s="5" t="inlineStr">
        <is>
          <t>n</t>
        </is>
      </c>
      <c r="R80" s="5" t="n"/>
      <c r="S80" s="5" t="n"/>
      <c r="T80" s="5" t="n"/>
      <c r="U80" s="5" t="inlineStr">
        <is>
          <t>Migración inicial</t>
        </is>
      </c>
    </row>
    <row r="81">
      <c r="A81" s="9" t="inlineStr">
        <is>
          <t>c8f14376-523</t>
        </is>
      </c>
      <c r="B81" s="5" t="inlineStr">
        <is>
          <t>SUB-comunicacion_social-2024-11</t>
        </is>
      </c>
      <c r="C81" s="5" t="inlineStr">
        <is>
          <t>2024-11</t>
        </is>
      </c>
      <c r="D81" s="27" t="n">
        <v>45597</v>
      </c>
      <c r="E81" s="5" t="inlineStr">
        <is>
          <t>comunicacion_social</t>
        </is>
      </c>
      <c r="F81" s="5" t="inlineStr">
        <is>
          <t>social_qcs</t>
        </is>
      </c>
      <c r="G81" s="5" t="inlineStr">
        <is>
          <t>QCS</t>
        </is>
      </c>
      <c r="H81" s="5" t="inlineStr">
        <is>
          <t>social_qcs</t>
        </is>
      </c>
      <c r="I81" s="5" t="inlineStr">
        <is>
          <t>general</t>
        </is>
      </c>
      <c r="J81" s="5" t="inlineStr">
        <is>
          <t>comunicacion_social.sugerencias</t>
        </is>
      </c>
      <c r="K81" s="5" t="inlineStr">
        <is>
          <t>Sugerencias</t>
        </is>
      </c>
      <c r="L81" s="5" t="inlineStr">
        <is>
          <t>number</t>
        </is>
      </c>
      <c r="M81" s="5" t="n"/>
      <c r="N81" s="5" t="n"/>
      <c r="O81" s="5" t="n"/>
      <c r="P81" s="5" t="n"/>
      <c r="Q81" s="5" t="inlineStr">
        <is>
          <t>n</t>
        </is>
      </c>
      <c r="R81" s="5" t="n"/>
      <c r="S81" s="5" t="n"/>
      <c r="T81" s="5" t="n"/>
      <c r="U81" s="5" t="inlineStr">
        <is>
          <t>Migración inicial</t>
        </is>
      </c>
    </row>
    <row r="82">
      <c r="A82" s="9" t="inlineStr">
        <is>
          <t>2c22f65c-6ec</t>
        </is>
      </c>
      <c r="B82" s="5" t="inlineStr">
        <is>
          <t>SUB-comunicacion_social-2024-11</t>
        </is>
      </c>
      <c r="C82" s="5" t="inlineStr">
        <is>
          <t>2024-11</t>
        </is>
      </c>
      <c r="D82" s="27" t="n">
        <v>45597</v>
      </c>
      <c r="E82" s="5" t="inlineStr">
        <is>
          <t>comunicacion_social</t>
        </is>
      </c>
      <c r="F82" s="5" t="inlineStr">
        <is>
          <t>social_qcs</t>
        </is>
      </c>
      <c r="G82" s="5" t="inlineStr">
        <is>
          <t>QCS</t>
        </is>
      </c>
      <c r="H82" s="5" t="inlineStr">
        <is>
          <t>social_qcs</t>
        </is>
      </c>
      <c r="I82" s="5" t="inlineStr">
        <is>
          <t>general</t>
        </is>
      </c>
      <c r="J82" s="5" t="inlineStr">
        <is>
          <t>comunicacion_social.contactos_total</t>
        </is>
      </c>
      <c r="K82" s="5" t="inlineStr">
        <is>
          <t>Contactos Total</t>
        </is>
      </c>
      <c r="L82" s="5" t="inlineStr">
        <is>
          <t>number</t>
        </is>
      </c>
      <c r="M82" s="11" t="n">
        <v>16</v>
      </c>
      <c r="N82" s="5" t="n"/>
      <c r="O82" s="5" t="n"/>
      <c r="P82" s="5" t="n"/>
      <c r="Q82" s="5" t="inlineStr">
        <is>
          <t>n</t>
        </is>
      </c>
      <c r="R82" s="5" t="n"/>
      <c r="S82" s="5" t="n"/>
      <c r="T82" s="5" t="n"/>
      <c r="U82" s="5" t="inlineStr">
        <is>
          <t>Migración inicial</t>
        </is>
      </c>
    </row>
    <row r="83">
      <c r="A83" s="9" t="inlineStr">
        <is>
          <t>0e55c2b2-dff</t>
        </is>
      </c>
      <c r="B83" s="5" t="inlineStr">
        <is>
          <t>SUB-comunicacion_social-2024-12</t>
        </is>
      </c>
      <c r="C83" s="5" t="inlineStr">
        <is>
          <t>2024-12</t>
        </is>
      </c>
      <c r="D83" s="27" t="n">
        <v>45627</v>
      </c>
      <c r="E83" s="5" t="inlineStr">
        <is>
          <t>comunicacion_social</t>
        </is>
      </c>
      <c r="F83" s="5" t="inlineStr">
        <is>
          <t>social_qcs</t>
        </is>
      </c>
      <c r="G83" s="5" t="inlineStr">
        <is>
          <t>QCS</t>
        </is>
      </c>
      <c r="H83" s="5" t="inlineStr">
        <is>
          <t>social_qcs</t>
        </is>
      </c>
      <c r="I83" s="5" t="inlineStr">
        <is>
          <t>general</t>
        </is>
      </c>
      <c r="J83" s="5" t="inlineStr">
        <is>
          <t>comunicacion_social.quejas</t>
        </is>
      </c>
      <c r="K83" s="5" t="inlineStr">
        <is>
          <t>Quejas</t>
        </is>
      </c>
      <c r="L83" s="5" t="inlineStr">
        <is>
          <t>number</t>
        </is>
      </c>
      <c r="M83" s="11" t="n">
        <v>15</v>
      </c>
      <c r="N83" s="5" t="n"/>
      <c r="O83" s="5" t="n"/>
      <c r="P83" s="5" t="n"/>
      <c r="Q83" s="5" t="inlineStr">
        <is>
          <t>n</t>
        </is>
      </c>
      <c r="R83" s="5" t="n"/>
      <c r="S83" s="5" t="n"/>
      <c r="T83" s="5" t="n"/>
      <c r="U83" s="5" t="inlineStr">
        <is>
          <t>Migración inicial</t>
        </is>
      </c>
    </row>
    <row r="84">
      <c r="A84" s="9" t="inlineStr">
        <is>
          <t>ca81326b-1fd</t>
        </is>
      </c>
      <c r="B84" s="5" t="inlineStr">
        <is>
          <t>SUB-comunicacion_social-2024-12</t>
        </is>
      </c>
      <c r="C84" s="5" t="inlineStr">
        <is>
          <t>2024-12</t>
        </is>
      </c>
      <c r="D84" s="27" t="n">
        <v>45627</v>
      </c>
      <c r="E84" s="5" t="inlineStr">
        <is>
          <t>comunicacion_social</t>
        </is>
      </c>
      <c r="F84" s="5" t="inlineStr">
        <is>
          <t>social_qcs</t>
        </is>
      </c>
      <c r="G84" s="5" t="inlineStr">
        <is>
          <t>QCS</t>
        </is>
      </c>
      <c r="H84" s="5" t="inlineStr">
        <is>
          <t>social_qcs</t>
        </is>
      </c>
      <c r="I84" s="5" t="inlineStr">
        <is>
          <t>general</t>
        </is>
      </c>
      <c r="J84" s="5" t="inlineStr">
        <is>
          <t>comunicacion_social.consultas</t>
        </is>
      </c>
      <c r="K84" s="5" t="inlineStr">
        <is>
          <t>Consultas</t>
        </is>
      </c>
      <c r="L84" s="5" t="inlineStr">
        <is>
          <t>number</t>
        </is>
      </c>
      <c r="M84" s="5" t="n"/>
      <c r="N84" s="5" t="n"/>
      <c r="O84" s="5" t="n"/>
      <c r="P84" s="5" t="n"/>
      <c r="Q84" s="5" t="inlineStr">
        <is>
          <t>n</t>
        </is>
      </c>
      <c r="R84" s="5" t="n"/>
      <c r="S84" s="5" t="n"/>
      <c r="T84" s="5" t="n"/>
      <c r="U84" s="5" t="inlineStr">
        <is>
          <t>Migración inicial</t>
        </is>
      </c>
    </row>
    <row r="85">
      <c r="A85" s="9" t="inlineStr">
        <is>
          <t>f97bdc66-d88</t>
        </is>
      </c>
      <c r="B85" s="5" t="inlineStr">
        <is>
          <t>SUB-comunicacion_social-2024-12</t>
        </is>
      </c>
      <c r="C85" s="5" t="inlineStr">
        <is>
          <t>2024-12</t>
        </is>
      </c>
      <c r="D85" s="27" t="n">
        <v>45627</v>
      </c>
      <c r="E85" s="5" t="inlineStr">
        <is>
          <t>comunicacion_social</t>
        </is>
      </c>
      <c r="F85" s="5" t="inlineStr">
        <is>
          <t>social_qcs</t>
        </is>
      </c>
      <c r="G85" s="5" t="inlineStr">
        <is>
          <t>QCS</t>
        </is>
      </c>
      <c r="H85" s="5" t="inlineStr">
        <is>
          <t>social_qcs</t>
        </is>
      </c>
      <c r="I85" s="5" t="inlineStr">
        <is>
          <t>general</t>
        </is>
      </c>
      <c r="J85" s="5" t="inlineStr">
        <is>
          <t>comunicacion_social.sugerencias</t>
        </is>
      </c>
      <c r="K85" s="5" t="inlineStr">
        <is>
          <t>Sugerencias</t>
        </is>
      </c>
      <c r="L85" s="5" t="inlineStr">
        <is>
          <t>number</t>
        </is>
      </c>
      <c r="M85" s="5" t="n"/>
      <c r="N85" s="5" t="n"/>
      <c r="O85" s="5" t="n"/>
      <c r="P85" s="5" t="n"/>
      <c r="Q85" s="5" t="inlineStr">
        <is>
          <t>n</t>
        </is>
      </c>
      <c r="R85" s="5" t="n"/>
      <c r="S85" s="5" t="n"/>
      <c r="T85" s="5" t="n"/>
      <c r="U85" s="5" t="inlineStr">
        <is>
          <t>Migración inicial</t>
        </is>
      </c>
    </row>
    <row r="86">
      <c r="A86" s="9" t="inlineStr">
        <is>
          <t>75444429-e2c</t>
        </is>
      </c>
      <c r="B86" s="5" t="inlineStr">
        <is>
          <t>SUB-comunicacion_social-2024-12</t>
        </is>
      </c>
      <c r="C86" s="5" t="inlineStr">
        <is>
          <t>2024-12</t>
        </is>
      </c>
      <c r="D86" s="27" t="n">
        <v>45627</v>
      </c>
      <c r="E86" s="5" t="inlineStr">
        <is>
          <t>comunicacion_social</t>
        </is>
      </c>
      <c r="F86" s="5" t="inlineStr">
        <is>
          <t>social_qcs</t>
        </is>
      </c>
      <c r="G86" s="5" t="inlineStr">
        <is>
          <t>QCS</t>
        </is>
      </c>
      <c r="H86" s="5" t="inlineStr">
        <is>
          <t>social_qcs</t>
        </is>
      </c>
      <c r="I86" s="5" t="inlineStr">
        <is>
          <t>general</t>
        </is>
      </c>
      <c r="J86" s="5" t="inlineStr">
        <is>
          <t>comunicacion_social.contactos_total</t>
        </is>
      </c>
      <c r="K86" s="5" t="inlineStr">
        <is>
          <t>Contactos Total</t>
        </is>
      </c>
      <c r="L86" s="5" t="inlineStr">
        <is>
          <t>number</t>
        </is>
      </c>
      <c r="M86" s="11" t="n">
        <v>15</v>
      </c>
      <c r="N86" s="5" t="n"/>
      <c r="O86" s="5" t="n"/>
      <c r="P86" s="5" t="n"/>
      <c r="Q86" s="5" t="inlineStr">
        <is>
          <t>n</t>
        </is>
      </c>
      <c r="R86" s="5" t="n"/>
      <c r="S86" s="5" t="n"/>
      <c r="T86" s="5" t="n"/>
      <c r="U86" s="5" t="inlineStr">
        <is>
          <t>Migración inicial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  <col width="16" customWidth="1" min="8" max="8"/>
    <col width="18" customWidth="1" min="9" max="9"/>
    <col width="18" customWidth="1" min="10" max="10"/>
    <col width="26" customWidth="1" min="11" max="11"/>
  </cols>
  <sheetData>
    <row r="1" ht="26" customHeight="1">
      <c r="A1" s="1" t="inlineStr">
        <is>
          <t>ENVIOS</t>
        </is>
      </c>
    </row>
    <row r="4">
      <c r="A4" s="8" t="inlineStr">
        <is>
          <t>submission_id</t>
        </is>
      </c>
      <c r="B4" s="8" t="inlineStr">
        <is>
          <t>period_key</t>
        </is>
      </c>
      <c r="C4" s="8" t="inlineStr">
        <is>
          <t>area_code</t>
        </is>
      </c>
      <c r="D4" s="8" t="inlineStr">
        <is>
          <t>status</t>
        </is>
      </c>
      <c r="E4" s="8" t="inlineStr">
        <is>
          <t>responsible_user</t>
        </is>
      </c>
      <c r="F4" s="8" t="inlineStr">
        <is>
          <t>opened_at</t>
        </is>
      </c>
      <c r="G4" s="8" t="inlineStr">
        <is>
          <t>saved_at</t>
        </is>
      </c>
      <c r="H4" s="8" t="inlineStr">
        <is>
          <t>submitted_at</t>
        </is>
      </c>
      <c r="I4" s="8" t="inlineStr">
        <is>
          <t>completeness_pct</t>
        </is>
      </c>
      <c r="J4" s="8" t="inlineStr">
        <is>
          <t>reminder_sent_at</t>
        </is>
      </c>
      <c r="K4" s="8" t="inlineStr">
        <is>
          <t>comments</t>
        </is>
      </c>
    </row>
    <row r="5">
      <c r="A5" s="9" t="inlineStr">
        <is>
          <t>SUB-ambiental-2026-02</t>
        </is>
      </c>
      <c r="B5" s="5" t="inlineStr">
        <is>
          <t>2026-02</t>
        </is>
      </c>
      <c r="C5" s="5" t="inlineStr">
        <is>
          <t>ambiental</t>
        </is>
      </c>
      <c r="D5" s="5" t="inlineStr">
        <is>
          <t>Enviado</t>
        </is>
      </c>
      <c r="E5" s="5" t="inlineStr">
        <is>
          <t>Ambiental</t>
        </is>
      </c>
      <c r="F5" s="5" t="n"/>
      <c r="G5" s="5" t="n"/>
      <c r="H5" s="27" t="n">
        <v>46081</v>
      </c>
      <c r="I5" s="11" t="n">
        <v>100</v>
      </c>
      <c r="J5" s="27" t="n">
        <v>46078</v>
      </c>
      <c r="K5" s="5" t="n"/>
    </row>
    <row r="6">
      <c r="A6" s="9" t="inlineStr">
        <is>
          <t>SUB-compras-2026-02</t>
        </is>
      </c>
      <c r="B6" s="5" t="inlineStr">
        <is>
          <t>2026-02</t>
        </is>
      </c>
      <c r="C6" s="5" t="inlineStr">
        <is>
          <t>compras</t>
        </is>
      </c>
      <c r="D6" s="5" t="inlineStr">
        <is>
          <t>Pendiente</t>
        </is>
      </c>
      <c r="E6" s="5" t="inlineStr">
        <is>
          <t>Compras</t>
        </is>
      </c>
      <c r="F6" s="5" t="n"/>
      <c r="G6" s="5" t="n"/>
      <c r="H6" s="5" t="n"/>
      <c r="I6" s="11" t="n">
        <v>0</v>
      </c>
      <c r="J6" s="27" t="n">
        <v>46078</v>
      </c>
      <c r="K6" s="5" t="inlineStr">
        <is>
          <t>Falta</t>
        </is>
      </c>
    </row>
    <row r="7">
      <c r="A7" s="9" t="inlineStr">
        <is>
          <t>SUB-comunicacion_social-2026-02</t>
        </is>
      </c>
      <c r="B7" s="5" t="inlineStr">
        <is>
          <t>2026-02</t>
        </is>
      </c>
      <c r="C7" s="5" t="inlineStr">
        <is>
          <t>comunicacion_social</t>
        </is>
      </c>
      <c r="D7" s="5" t="inlineStr">
        <is>
          <t>Enviado</t>
        </is>
      </c>
      <c r="E7" s="5" t="inlineStr">
        <is>
          <t>Comunicaciones/Social</t>
        </is>
      </c>
      <c r="F7" s="5" t="n"/>
      <c r="G7" s="5" t="n"/>
      <c r="H7" s="27" t="n">
        <v>46081</v>
      </c>
      <c r="I7" s="11" t="n">
        <v>100</v>
      </c>
      <c r="J7" s="27" t="n">
        <v>46078</v>
      </c>
      <c r="K7" s="5" t="n"/>
    </row>
    <row r="8">
      <c r="A8" s="9" t="inlineStr">
        <is>
          <t>SUB-admin-2026-02</t>
        </is>
      </c>
      <c r="B8" s="5" t="inlineStr">
        <is>
          <t>2026-02</t>
        </is>
      </c>
      <c r="C8" s="5" t="inlineStr">
        <is>
          <t>admin</t>
        </is>
      </c>
      <c r="D8" s="5" t="inlineStr">
        <is>
          <t>Enviado</t>
        </is>
      </c>
      <c r="E8" s="5" t="inlineStr">
        <is>
          <t>Administrador</t>
        </is>
      </c>
      <c r="F8" s="5" t="n"/>
      <c r="G8" s="5" t="n"/>
      <c r="H8" s="27" t="n">
        <v>46081</v>
      </c>
      <c r="I8" s="11" t="n">
        <v>100</v>
      </c>
      <c r="J8" s="27" t="n">
        <v>46078</v>
      </c>
      <c r="K8" s="5" t="n"/>
    </row>
    <row r="9">
      <c r="A9" s="9" t="inlineStr">
        <is>
          <t>SUB-finanzas-2026-02</t>
        </is>
      </c>
      <c r="B9" s="5" t="inlineStr">
        <is>
          <t>2026-02</t>
        </is>
      </c>
      <c r="C9" s="5" t="inlineStr">
        <is>
          <t>finanzas</t>
        </is>
      </c>
      <c r="D9" s="5" t="inlineStr">
        <is>
          <t>Pendiente</t>
        </is>
      </c>
      <c r="E9" s="5" t="inlineStr">
        <is>
          <t>Finanzas</t>
        </is>
      </c>
      <c r="F9" s="5" t="n"/>
      <c r="G9" s="5" t="n"/>
      <c r="H9" s="5" t="n"/>
      <c r="I9" s="11" t="n">
        <v>0</v>
      </c>
      <c r="J9" s="27" t="n">
        <v>46078</v>
      </c>
      <c r="K9" s="5" t="inlineStr">
        <is>
          <t>Falta</t>
        </is>
      </c>
    </row>
    <row r="10">
      <c r="A10" s="9" t="inlineStr">
        <is>
          <t>SUB-operaciones_forestales-2026-02</t>
        </is>
      </c>
      <c r="B10" s="5" t="inlineStr">
        <is>
          <t>2026-02</t>
        </is>
      </c>
      <c r="C10" s="5" t="inlineStr">
        <is>
          <t>operaciones_forestales</t>
        </is>
      </c>
      <c r="D10" s="5" t="inlineStr">
        <is>
          <t>Enviado</t>
        </is>
      </c>
      <c r="E10" s="5" t="inlineStr">
        <is>
          <t>Forestal Ops</t>
        </is>
      </c>
      <c r="F10" s="5" t="n"/>
      <c r="G10" s="5" t="n"/>
      <c r="H10" s="27" t="n">
        <v>46081</v>
      </c>
      <c r="I10" s="11" t="n">
        <v>100</v>
      </c>
      <c r="J10" s="27" t="n">
        <v>46078</v>
      </c>
      <c r="K10" s="5" t="n"/>
    </row>
    <row r="11">
      <c r="A11" s="9" t="inlineStr">
        <is>
          <t>SUB-talento_humano-2026-02</t>
        </is>
      </c>
      <c r="B11" s="5" t="inlineStr">
        <is>
          <t>2026-02</t>
        </is>
      </c>
      <c r="C11" s="5" t="inlineStr">
        <is>
          <t>talento_humano</t>
        </is>
      </c>
      <c r="D11" s="5" t="inlineStr">
        <is>
          <t>Enviado</t>
        </is>
      </c>
      <c r="E11" s="5" t="inlineStr">
        <is>
          <t>TH</t>
        </is>
      </c>
      <c r="F11" s="5" t="n"/>
      <c r="G11" s="5" t="n"/>
      <c r="H11" s="27" t="n">
        <v>46081</v>
      </c>
      <c r="I11" s="11" t="n">
        <v>100</v>
      </c>
      <c r="J11" s="27" t="n">
        <v>46078</v>
      </c>
      <c r="K11" s="5" t="inlineStr">
        <is>
          <t>Sin dato para fuente de reclutamiento</t>
        </is>
      </c>
    </row>
    <row r="12">
      <c r="A12" s="9" t="inlineStr">
        <is>
          <t>SUB-ssl_forestal-2026-02</t>
        </is>
      </c>
      <c r="B12" s="5" t="inlineStr">
        <is>
          <t>2026-02</t>
        </is>
      </c>
      <c r="C12" s="5" t="inlineStr">
        <is>
          <t>ssl_forestal</t>
        </is>
      </c>
      <c r="D12" s="5" t="inlineStr">
        <is>
          <t>Enviado</t>
        </is>
      </c>
      <c r="E12" s="5" t="inlineStr">
        <is>
          <t>Forestal_SSL</t>
        </is>
      </c>
      <c r="F12" s="5" t="n"/>
      <c r="G12" s="5" t="n"/>
      <c r="H12" s="27" t="n">
        <v>46081</v>
      </c>
      <c r="I12" s="11" t="n">
        <v>100</v>
      </c>
      <c r="J12" s="27" t="n">
        <v>46078</v>
      </c>
      <c r="K12" s="5" t="n"/>
    </row>
    <row r="13">
      <c r="A13" s="9" t="inlineStr">
        <is>
          <t>SUB-operaciones_industriales-2026-02</t>
        </is>
      </c>
      <c r="B13" s="5" t="inlineStr">
        <is>
          <t>2026-02</t>
        </is>
      </c>
      <c r="C13" s="5" t="inlineStr">
        <is>
          <t>operaciones_industriales</t>
        </is>
      </c>
      <c r="D13" s="5" t="inlineStr">
        <is>
          <t>Enviado</t>
        </is>
      </c>
      <c r="E13" s="5" t="inlineStr">
        <is>
          <t>Industrial</t>
        </is>
      </c>
      <c r="F13" s="5" t="n"/>
      <c r="G13" s="5" t="n"/>
      <c r="H13" s="27" t="n">
        <v>46081</v>
      </c>
      <c r="I13" s="11" t="n">
        <v>100</v>
      </c>
      <c r="J13" s="27" t="n">
        <v>46078</v>
      </c>
      <c r="K13" s="5" t="n"/>
    </row>
    <row r="14">
      <c r="A14" s="9" t="inlineStr">
        <is>
          <t>SUB-talento_humano-2026-02</t>
        </is>
      </c>
      <c r="B14" s="5" t="inlineStr">
        <is>
          <t>2026-02</t>
        </is>
      </c>
      <c r="C14" s="5" t="inlineStr">
        <is>
          <t>talento_humano</t>
        </is>
      </c>
      <c r="D14" s="5" t="inlineStr">
        <is>
          <t>Enviado</t>
        </is>
      </c>
      <c r="E14" s="5" t="inlineStr">
        <is>
          <t>TH</t>
        </is>
      </c>
      <c r="F14" s="5" t="n"/>
      <c r="G14" s="5" t="n"/>
      <c r="H14" s="27" t="n">
        <v>46081</v>
      </c>
      <c r="I14" s="11" t="n">
        <v>100</v>
      </c>
      <c r="J14" s="27" t="n">
        <v>46078</v>
      </c>
      <c r="K14" s="5" t="inlineStr">
        <is>
          <t>Sin dato para fuente de reclutamiento</t>
        </is>
      </c>
    </row>
    <row r="15">
      <c r="A15" s="9" t="inlineStr">
        <is>
          <t>SUB-ssl_industrial-2026-02</t>
        </is>
      </c>
      <c r="B15" s="5" t="inlineStr">
        <is>
          <t>2026-02</t>
        </is>
      </c>
      <c r="C15" s="5" t="inlineStr">
        <is>
          <t>ssl_industrial</t>
        </is>
      </c>
      <c r="D15" s="5" t="inlineStr">
        <is>
          <t>Enviado</t>
        </is>
      </c>
      <c r="E15" s="5" t="inlineStr">
        <is>
          <t>HSE Industrial</t>
        </is>
      </c>
      <c r="F15" s="5" t="n"/>
      <c r="G15" s="5" t="n"/>
      <c r="H15" s="27" t="n">
        <v>46081</v>
      </c>
      <c r="I15" s="11" t="n">
        <v>100</v>
      </c>
      <c r="J15" s="27" t="n">
        <v>46078</v>
      </c>
      <c r="K15" s="5" t="n"/>
    </row>
    <row r="16">
      <c r="A16" s="9" t="inlineStr">
        <is>
          <t>SUB-logistica-2026-02</t>
        </is>
      </c>
      <c r="B16" s="5" t="inlineStr">
        <is>
          <t>2026-02</t>
        </is>
      </c>
      <c r="C16" s="5" t="inlineStr">
        <is>
          <t>logistica</t>
        </is>
      </c>
      <c r="D16" s="5" t="inlineStr">
        <is>
          <t>Pendiente</t>
        </is>
      </c>
      <c r="E16" s="5" t="inlineStr">
        <is>
          <t>Logística</t>
        </is>
      </c>
      <c r="F16" s="5" t="n"/>
      <c r="G16" s="5" t="n"/>
      <c r="H16" s="5" t="n"/>
      <c r="I16" s="11" t="n">
        <v>0</v>
      </c>
      <c r="J16" s="27" t="n">
        <v>46078</v>
      </c>
      <c r="K16" s="5" t="inlineStr">
        <is>
          <t>Temporalmente fuera de matriz</t>
        </is>
      </c>
    </row>
    <row r="17">
      <c r="A17" s="9" t="inlineStr">
        <is>
          <t>SUB-talento_humano-2026-02</t>
        </is>
      </c>
      <c r="B17" s="5" t="inlineStr">
        <is>
          <t>2026-02</t>
        </is>
      </c>
      <c r="C17" s="5" t="inlineStr">
        <is>
          <t>talento_humano</t>
        </is>
      </c>
      <c r="D17" s="5" t="inlineStr">
        <is>
          <t>Enviado</t>
        </is>
      </c>
      <c r="E17" s="5" t="inlineStr">
        <is>
          <t>TH</t>
        </is>
      </c>
      <c r="F17" s="5" t="n"/>
      <c r="G17" s="5" t="n"/>
      <c r="H17" s="27" t="n">
        <v>46081</v>
      </c>
      <c r="I17" s="11" t="n">
        <v>100</v>
      </c>
      <c r="J17" s="27" t="n">
        <v>46078</v>
      </c>
      <c r="K17" s="5" t="n"/>
    </row>
    <row r="18">
      <c r="A18" s="9" t="inlineStr">
        <is>
          <t>SUB-talento_humano-2026-02</t>
        </is>
      </c>
      <c r="B18" s="5" t="inlineStr">
        <is>
          <t>2026-02</t>
        </is>
      </c>
      <c r="C18" s="5" t="inlineStr">
        <is>
          <t>talento_humano</t>
        </is>
      </c>
      <c r="D18" s="5" t="inlineStr">
        <is>
          <t>Enviado</t>
        </is>
      </c>
      <c r="E18" s="5" t="inlineStr">
        <is>
          <t>Fomento</t>
        </is>
      </c>
      <c r="F18" s="5" t="n"/>
      <c r="G18" s="5" t="n"/>
      <c r="H18" s="27" t="n">
        <v>46081</v>
      </c>
      <c r="I18" s="11" t="n">
        <v>100</v>
      </c>
      <c r="J18" s="27" t="n">
        <v>46078</v>
      </c>
      <c r="K18" s="5" t="n"/>
    </row>
  </sheetData>
  <dataValidations count="2">
    <dataValidation sqref="B5:B5000" showDropDown="0" showInputMessage="0" showErrorMessage="0" allowBlank="1" type="list">
      <formula1>=CAT_PERIODOS!$B$5:$B$64</formula1>
    </dataValidation>
    <dataValidation sqref="D5:D5000" showDropDown="0" showInputMessage="0" showErrorMessage="0" allowBlank="1" type="list">
      <formula1>=VALIDACIONES!$C$4:$C$7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  <col width="16" customWidth="1" min="8" max="8"/>
    <col width="18" customWidth="1" min="9" max="9"/>
  </cols>
  <sheetData>
    <row r="1" ht="26" customHeight="1">
      <c r="A1" s="1" t="inlineStr">
        <is>
          <t>DET_TH_AREA</t>
        </is>
      </c>
    </row>
    <row r="4">
      <c r="A4" s="8" t="inlineStr">
        <is>
          <t>period_key</t>
        </is>
      </c>
      <c r="B4" s="8" t="inlineStr">
        <is>
          <t>area_name</t>
        </is>
      </c>
      <c r="C4" s="8" t="inlineStr">
        <is>
          <t>persons_total</t>
        </is>
      </c>
      <c r="D4" s="8" t="inlineStr">
        <is>
          <t>male_count</t>
        </is>
      </c>
      <c r="E4" s="8" t="inlineStr">
        <is>
          <t>female_count</t>
        </is>
      </c>
      <c r="F4" s="8" t="inlineStr">
        <is>
          <t>under30_count</t>
        </is>
      </c>
      <c r="G4" s="8" t="inlineStr">
        <is>
          <t>age30_50_count</t>
        </is>
      </c>
      <c r="H4" s="8" t="inlineStr">
        <is>
          <t>over50_count</t>
        </is>
      </c>
      <c r="I4" s="8" t="inlineStr">
        <is>
          <t>observation</t>
        </is>
      </c>
    </row>
    <row r="5">
      <c r="A5" s="9" t="inlineStr">
        <is>
          <t>2025-12</t>
        </is>
      </c>
      <c r="B5" s="5" t="inlineStr">
        <is>
          <t>Talento Humano</t>
        </is>
      </c>
      <c r="C5" s="11" t="n">
        <v>1</v>
      </c>
      <c r="D5" s="11" t="n">
        <v>0</v>
      </c>
      <c r="E5" s="11" t="n">
        <v>1</v>
      </c>
      <c r="F5" s="11" t="n">
        <v>0</v>
      </c>
      <c r="G5" s="11" t="n">
        <v>1</v>
      </c>
      <c r="H5" s="11" t="n">
        <v>0</v>
      </c>
      <c r="I5" s="5" t="n"/>
    </row>
    <row r="6">
      <c r="A6" s="9" t="inlineStr">
        <is>
          <t>2025-12</t>
        </is>
      </c>
      <c r="B6" s="5" t="inlineStr">
        <is>
          <t>Seguridad Corporativa</t>
        </is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5" t="n"/>
    </row>
    <row r="7">
      <c r="A7" s="9" t="inlineStr">
        <is>
          <t>2025-12</t>
        </is>
      </c>
      <c r="B7" s="5" t="inlineStr">
        <is>
          <t>Salud y Seguridad</t>
        </is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5" t="n"/>
    </row>
    <row r="8">
      <c r="A8" s="9" t="inlineStr">
        <is>
          <t>2025-12</t>
        </is>
      </c>
      <c r="B8" s="5" t="inlineStr">
        <is>
          <t>Sustentabilidad Social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5" t="n"/>
    </row>
    <row r="9">
      <c r="A9" s="9" t="inlineStr">
        <is>
          <t>2025-12</t>
        </is>
      </c>
      <c r="B9" s="5" t="inlineStr">
        <is>
          <t>Comunicaciones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5" t="n"/>
    </row>
    <row r="10">
      <c r="A10" s="9" t="inlineStr">
        <is>
          <t>2025-12</t>
        </is>
      </c>
      <c r="B10" s="5" t="inlineStr">
        <is>
          <t>Compras</t>
        </is>
      </c>
      <c r="C10" s="11" t="n">
        <v>1</v>
      </c>
      <c r="D10" s="11" t="n">
        <v>0</v>
      </c>
      <c r="E10" s="11" t="n">
        <v>1</v>
      </c>
      <c r="F10" s="11" t="n">
        <v>0</v>
      </c>
      <c r="G10" s="11" t="n">
        <v>1</v>
      </c>
      <c r="H10" s="11" t="n">
        <v>0</v>
      </c>
      <c r="I10" s="5" t="n"/>
    </row>
    <row r="11">
      <c r="A11" s="9" t="inlineStr">
        <is>
          <t>2025-12</t>
        </is>
      </c>
      <c r="B11" s="5" t="inlineStr">
        <is>
          <t>Finanzas</t>
        </is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5" t="n"/>
    </row>
    <row r="12">
      <c r="A12" s="9" t="inlineStr">
        <is>
          <t>2025-12</t>
        </is>
      </c>
      <c r="B12" s="5" t="inlineStr">
        <is>
          <t>Tesorería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5" t="n"/>
    </row>
    <row r="13">
      <c r="A13" s="9" t="inlineStr">
        <is>
          <t>2025-12</t>
        </is>
      </c>
      <c r="B13" s="5" t="inlineStr">
        <is>
          <t>Contabilidad</t>
        </is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5" t="n"/>
    </row>
    <row r="14">
      <c r="A14" s="9" t="inlineStr">
        <is>
          <t>2025-12</t>
        </is>
      </c>
      <c r="B14" s="5" t="inlineStr">
        <is>
          <t>Ambiental</t>
        </is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5" t="n"/>
    </row>
    <row r="15">
      <c r="A15" s="9" t="inlineStr">
        <is>
          <t>2025-12</t>
        </is>
      </c>
      <c r="B15" s="5" t="inlineStr">
        <is>
          <t>Forestal</t>
        </is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5" t="n"/>
    </row>
    <row r="16">
      <c r="A16" s="9" t="inlineStr">
        <is>
          <t>2025-12</t>
        </is>
      </c>
      <c r="B16" s="5" t="inlineStr">
        <is>
          <t>Logística</t>
        </is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5" t="n"/>
    </row>
    <row r="17">
      <c r="A17" s="9" t="inlineStr">
        <is>
          <t>2025-12</t>
        </is>
      </c>
      <c r="B17" s="5" t="inlineStr">
        <is>
          <t>Tecnología</t>
        </is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5" t="n"/>
    </row>
    <row r="18">
      <c r="A18" s="9" t="inlineStr">
        <is>
          <t>2025-12</t>
        </is>
      </c>
      <c r="B18" s="5" t="inlineStr">
        <is>
          <t>Ingeniería</t>
        </is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5" t="n"/>
    </row>
    <row r="19">
      <c r="A19" s="9" t="inlineStr">
        <is>
          <t>2026-01</t>
        </is>
      </c>
      <c r="B19" s="5" t="inlineStr">
        <is>
          <t>Talento Humano</t>
        </is>
      </c>
      <c r="C19" s="5" t="n"/>
      <c r="D19" s="5" t="n"/>
      <c r="E19" s="5" t="n"/>
      <c r="F19" s="5" t="n"/>
      <c r="G19" s="5" t="n"/>
      <c r="H19" s="5" t="n"/>
      <c r="I19" s="5" t="n"/>
    </row>
    <row r="20">
      <c r="A20" s="9" t="inlineStr">
        <is>
          <t>2026-01</t>
        </is>
      </c>
      <c r="B20" s="5" t="inlineStr">
        <is>
          <t>Seguridad Corporativa</t>
        </is>
      </c>
      <c r="C20" s="5" t="n"/>
      <c r="D20" s="5" t="n"/>
      <c r="E20" s="5" t="n"/>
      <c r="F20" s="5" t="n"/>
      <c r="G20" s="5" t="n"/>
      <c r="H20" s="5" t="n"/>
      <c r="I20" s="5" t="n"/>
    </row>
    <row r="21">
      <c r="A21" s="9" t="inlineStr">
        <is>
          <t>2026-01</t>
        </is>
      </c>
      <c r="B21" s="5" t="inlineStr">
        <is>
          <t>Salud y Seguridad</t>
        </is>
      </c>
      <c r="C21" s="5" t="n"/>
      <c r="D21" s="5" t="n"/>
      <c r="E21" s="5" t="n"/>
      <c r="F21" s="5" t="n"/>
      <c r="G21" s="5" t="n"/>
      <c r="H21" s="5" t="n"/>
      <c r="I21" s="5" t="n"/>
    </row>
    <row r="22">
      <c r="A22" s="9" t="inlineStr">
        <is>
          <t>2026-01</t>
        </is>
      </c>
      <c r="B22" s="5" t="inlineStr">
        <is>
          <t>Sustentabilidad Social</t>
        </is>
      </c>
      <c r="C22" s="5" t="n"/>
      <c r="D22" s="5" t="n"/>
      <c r="E22" s="5" t="n"/>
      <c r="F22" s="5" t="n"/>
      <c r="G22" s="5" t="n"/>
      <c r="H22" s="5" t="n"/>
      <c r="I22" s="5" t="n"/>
    </row>
    <row r="23">
      <c r="A23" s="9" t="inlineStr">
        <is>
          <t>2026-01</t>
        </is>
      </c>
      <c r="B23" s="5" t="inlineStr">
        <is>
          <t>Comunicaciones</t>
        </is>
      </c>
      <c r="C23" s="5" t="n"/>
      <c r="D23" s="5" t="n"/>
      <c r="E23" s="5" t="n"/>
      <c r="F23" s="5" t="n"/>
      <c r="G23" s="5" t="n"/>
      <c r="H23" s="5" t="n"/>
      <c r="I23" s="5" t="n"/>
    </row>
    <row r="24">
      <c r="A24" s="9" t="inlineStr">
        <is>
          <t>2026-01</t>
        </is>
      </c>
      <c r="B24" s="5" t="inlineStr">
        <is>
          <t>Compras</t>
        </is>
      </c>
      <c r="C24" s="5" t="n"/>
      <c r="D24" s="5" t="n"/>
      <c r="E24" s="5" t="n"/>
      <c r="F24" s="5" t="n"/>
      <c r="G24" s="5" t="n"/>
      <c r="H24" s="5" t="n"/>
      <c r="I24" s="5" t="n"/>
    </row>
    <row r="25">
      <c r="A25" s="9" t="inlineStr">
        <is>
          <t>2026-01</t>
        </is>
      </c>
      <c r="B25" s="5" t="inlineStr">
        <is>
          <t>Finanzas</t>
        </is>
      </c>
      <c r="C25" s="5" t="n"/>
      <c r="D25" s="5" t="n"/>
      <c r="E25" s="5" t="n"/>
      <c r="F25" s="5" t="n"/>
      <c r="G25" s="5" t="n"/>
      <c r="H25" s="5" t="n"/>
      <c r="I25" s="5" t="n"/>
    </row>
    <row r="26">
      <c r="A26" s="9" t="inlineStr">
        <is>
          <t>2026-01</t>
        </is>
      </c>
      <c r="B26" s="5" t="inlineStr">
        <is>
          <t>Tesorería</t>
        </is>
      </c>
      <c r="C26" s="5" t="n"/>
      <c r="D26" s="5" t="n"/>
      <c r="E26" s="5" t="n"/>
      <c r="F26" s="5" t="n"/>
      <c r="G26" s="5" t="n"/>
      <c r="H26" s="5" t="n"/>
      <c r="I26" s="5" t="n"/>
    </row>
    <row r="27">
      <c r="A27" s="9" t="inlineStr">
        <is>
          <t>2026-01</t>
        </is>
      </c>
      <c r="B27" s="5" t="inlineStr">
        <is>
          <t>Contabilidad</t>
        </is>
      </c>
      <c r="C27" s="5" t="n"/>
      <c r="D27" s="5" t="n"/>
      <c r="E27" s="5" t="n"/>
      <c r="F27" s="5" t="n"/>
      <c r="G27" s="5" t="n"/>
      <c r="H27" s="5" t="n"/>
      <c r="I27" s="5" t="n"/>
    </row>
    <row r="28">
      <c r="A28" s="9" t="inlineStr">
        <is>
          <t>2026-01</t>
        </is>
      </c>
      <c r="B28" s="5" t="inlineStr">
        <is>
          <t>Ambiental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9" t="inlineStr">
        <is>
          <t>2026-01</t>
        </is>
      </c>
      <c r="B29" s="5" t="inlineStr">
        <is>
          <t>Forestal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9" t="inlineStr">
        <is>
          <t>2026-01</t>
        </is>
      </c>
      <c r="B30" s="5" t="inlineStr">
        <is>
          <t>Logística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9" t="inlineStr">
        <is>
          <t>2026-01</t>
        </is>
      </c>
      <c r="B31" s="5" t="inlineStr">
        <is>
          <t>Tecnología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9" t="inlineStr">
        <is>
          <t>2026-01</t>
        </is>
      </c>
      <c r="B32" s="5" t="inlineStr">
        <is>
          <t>Ingeniería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9" t="inlineStr">
        <is>
          <t>2026-02</t>
        </is>
      </c>
      <c r="B33" s="5" t="inlineStr">
        <is>
          <t>Talento Humano</t>
        </is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5" t="n"/>
    </row>
    <row r="34">
      <c r="A34" s="9" t="inlineStr">
        <is>
          <t>2026-02</t>
        </is>
      </c>
      <c r="B34" s="5" t="inlineStr">
        <is>
          <t>Seguridad Corporativa</t>
        </is>
      </c>
      <c r="C34" s="11" t="n">
        <v>3</v>
      </c>
      <c r="D34" s="11" t="n">
        <v>3</v>
      </c>
      <c r="E34" s="11" t="n">
        <v>0</v>
      </c>
      <c r="F34" s="11" t="n">
        <v>3</v>
      </c>
      <c r="G34" s="11" t="n">
        <v>0</v>
      </c>
      <c r="H34" s="11" t="n">
        <v>0</v>
      </c>
      <c r="I34" s="5" t="n"/>
    </row>
    <row r="35">
      <c r="A35" s="9" t="inlineStr">
        <is>
          <t>2026-02</t>
        </is>
      </c>
      <c r="B35" s="5" t="inlineStr">
        <is>
          <t>Salud y Seguridad</t>
        </is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5" t="n"/>
    </row>
    <row r="36">
      <c r="A36" s="9" t="inlineStr">
        <is>
          <t>2026-02</t>
        </is>
      </c>
      <c r="B36" s="5" t="inlineStr">
        <is>
          <t>Sustentabilidad Social</t>
        </is>
      </c>
      <c r="C36" s="11" t="n">
        <v>1</v>
      </c>
      <c r="D36" s="11" t="n">
        <v>1</v>
      </c>
      <c r="E36" s="11" t="n">
        <v>0</v>
      </c>
      <c r="F36" s="11" t="n">
        <v>0</v>
      </c>
      <c r="G36" s="11" t="n">
        <v>1</v>
      </c>
      <c r="H36" s="11" t="n">
        <v>0</v>
      </c>
      <c r="I36" s="5" t="n"/>
    </row>
    <row r="37">
      <c r="A37" s="9" t="inlineStr">
        <is>
          <t>2026-02</t>
        </is>
      </c>
      <c r="B37" s="5" t="inlineStr">
        <is>
          <t>Comunicaciones</t>
        </is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5" t="n"/>
    </row>
    <row r="38">
      <c r="A38" s="9" t="inlineStr">
        <is>
          <t>2026-02</t>
        </is>
      </c>
      <c r="B38" s="5" t="inlineStr">
        <is>
          <t>Compras</t>
        </is>
      </c>
      <c r="C38" s="11" t="n">
        <v>1</v>
      </c>
      <c r="D38" s="11" t="n">
        <v>0</v>
      </c>
      <c r="E38" s="11" t="n">
        <v>1</v>
      </c>
      <c r="F38" s="11" t="n">
        <v>0</v>
      </c>
      <c r="G38" s="11" t="n">
        <v>1</v>
      </c>
      <c r="H38" s="11" t="n">
        <v>0</v>
      </c>
      <c r="I38" s="5" t="n"/>
    </row>
    <row r="39">
      <c r="A39" s="9" t="inlineStr">
        <is>
          <t>2026-02</t>
        </is>
      </c>
      <c r="B39" s="5" t="inlineStr">
        <is>
          <t>Finanzas</t>
        </is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5" t="n"/>
    </row>
    <row r="40">
      <c r="A40" s="9" t="inlineStr">
        <is>
          <t>2026-02</t>
        </is>
      </c>
      <c r="B40" s="5" t="inlineStr">
        <is>
          <t>Tesorería</t>
        </is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5" t="n"/>
    </row>
    <row r="41">
      <c r="A41" s="9" t="inlineStr">
        <is>
          <t>2026-02</t>
        </is>
      </c>
      <c r="B41" s="5" t="inlineStr">
        <is>
          <t>Contabilidad</t>
        </is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5" t="n"/>
    </row>
    <row r="42">
      <c r="A42" s="9" t="inlineStr">
        <is>
          <t>2026-02</t>
        </is>
      </c>
      <c r="B42" s="5" t="inlineStr">
        <is>
          <t>Ambiental</t>
        </is>
      </c>
      <c r="C42" s="11" t="n">
        <v>0</v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5" t="n"/>
    </row>
    <row r="43">
      <c r="A43" s="9" t="inlineStr">
        <is>
          <t>2026-02</t>
        </is>
      </c>
      <c r="B43" s="5" t="inlineStr">
        <is>
          <t>Forestal</t>
        </is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5" t="n"/>
    </row>
    <row r="44">
      <c r="A44" s="9" t="inlineStr">
        <is>
          <t>2026-02</t>
        </is>
      </c>
      <c r="B44" s="5" t="inlineStr">
        <is>
          <t>Logística</t>
        </is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5" t="n"/>
    </row>
    <row r="45">
      <c r="A45" s="9" t="inlineStr">
        <is>
          <t>2026-02</t>
        </is>
      </c>
      <c r="B45" s="5" t="inlineStr">
        <is>
          <t>Tecnología</t>
        </is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5" t="n"/>
    </row>
    <row r="46">
      <c r="A46" s="9" t="inlineStr">
        <is>
          <t>2026-02</t>
        </is>
      </c>
      <c r="B46" s="5" t="inlineStr">
        <is>
          <t>Ingeniería</t>
        </is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5" t="n"/>
    </row>
    <row r="47">
      <c r="A47" s="9" t="inlineStr">
        <is>
          <t>2026-03</t>
        </is>
      </c>
      <c r="B47" s="5" t="inlineStr">
        <is>
          <t>Talento Humano</t>
        </is>
      </c>
      <c r="C47" s="5" t="n"/>
      <c r="D47" s="5" t="n"/>
      <c r="E47" s="5" t="n"/>
      <c r="F47" s="5" t="n"/>
      <c r="G47" s="5" t="n"/>
      <c r="H47" s="5" t="n"/>
      <c r="I47" s="5" t="n"/>
    </row>
    <row r="48">
      <c r="A48" s="9" t="inlineStr">
        <is>
          <t>2026-03</t>
        </is>
      </c>
      <c r="B48" s="5" t="inlineStr">
        <is>
          <t>Seguridad Corporativa</t>
        </is>
      </c>
      <c r="C48" s="5" t="n"/>
      <c r="D48" s="5" t="n"/>
      <c r="E48" s="5" t="n"/>
      <c r="F48" s="5" t="n"/>
      <c r="G48" s="5" t="n"/>
      <c r="H48" s="5" t="n"/>
      <c r="I48" s="5" t="n"/>
    </row>
    <row r="49">
      <c r="A49" s="9" t="inlineStr">
        <is>
          <t>2026-03</t>
        </is>
      </c>
      <c r="B49" s="5" t="inlineStr">
        <is>
          <t>Salud y Seguridad</t>
        </is>
      </c>
      <c r="C49" s="5" t="n"/>
      <c r="D49" s="5" t="n"/>
      <c r="E49" s="5" t="n"/>
      <c r="F49" s="5" t="n"/>
      <c r="G49" s="5" t="n"/>
      <c r="H49" s="5" t="n"/>
      <c r="I49" s="5" t="n"/>
    </row>
    <row r="50">
      <c r="A50" s="9" t="inlineStr">
        <is>
          <t>2026-03</t>
        </is>
      </c>
      <c r="B50" s="5" t="inlineStr">
        <is>
          <t>Sustentabilidad Social</t>
        </is>
      </c>
      <c r="C50" s="5" t="n"/>
      <c r="D50" s="5" t="n"/>
      <c r="E50" s="5" t="n"/>
      <c r="F50" s="5" t="n"/>
      <c r="G50" s="5" t="n"/>
      <c r="H50" s="5" t="n"/>
      <c r="I50" s="5" t="n"/>
    </row>
    <row r="51">
      <c r="A51" s="9" t="inlineStr">
        <is>
          <t>2026-03</t>
        </is>
      </c>
      <c r="B51" s="5" t="inlineStr">
        <is>
          <t>Comunicaciones</t>
        </is>
      </c>
      <c r="C51" s="5" t="n"/>
      <c r="D51" s="5" t="n"/>
      <c r="E51" s="5" t="n"/>
      <c r="F51" s="5" t="n"/>
      <c r="G51" s="5" t="n"/>
      <c r="H51" s="5" t="n"/>
      <c r="I51" s="5" t="n"/>
    </row>
    <row r="52">
      <c r="A52" s="9" t="inlineStr">
        <is>
          <t>2026-03</t>
        </is>
      </c>
      <c r="B52" s="5" t="inlineStr">
        <is>
          <t>Compras</t>
        </is>
      </c>
      <c r="C52" s="5" t="n"/>
      <c r="D52" s="5" t="n"/>
      <c r="E52" s="5" t="n"/>
      <c r="F52" s="5" t="n"/>
      <c r="G52" s="5" t="n"/>
      <c r="H52" s="5" t="n"/>
      <c r="I52" s="5" t="n"/>
    </row>
    <row r="53">
      <c r="A53" s="9" t="inlineStr">
        <is>
          <t>2026-03</t>
        </is>
      </c>
      <c r="B53" s="5" t="inlineStr">
        <is>
          <t>Finanzas</t>
        </is>
      </c>
      <c r="C53" s="5" t="n"/>
      <c r="D53" s="5" t="n"/>
      <c r="E53" s="5" t="n"/>
      <c r="F53" s="5" t="n"/>
      <c r="G53" s="5" t="n"/>
      <c r="H53" s="5" t="n"/>
      <c r="I53" s="5" t="n"/>
    </row>
    <row r="54">
      <c r="A54" s="9" t="inlineStr">
        <is>
          <t>2026-03</t>
        </is>
      </c>
      <c r="B54" s="5" t="inlineStr">
        <is>
          <t>Tesorería</t>
        </is>
      </c>
      <c r="C54" s="5" t="n"/>
      <c r="D54" s="5" t="n"/>
      <c r="E54" s="5" t="n"/>
      <c r="F54" s="5" t="n"/>
      <c r="G54" s="5" t="n"/>
      <c r="H54" s="5" t="n"/>
      <c r="I54" s="5" t="n"/>
    </row>
    <row r="55">
      <c r="A55" s="9" t="inlineStr">
        <is>
          <t>2026-03</t>
        </is>
      </c>
      <c r="B55" s="5" t="inlineStr">
        <is>
          <t>Contabilidad</t>
        </is>
      </c>
      <c r="C55" s="5" t="n"/>
      <c r="D55" s="5" t="n"/>
      <c r="E55" s="5" t="n"/>
      <c r="F55" s="5" t="n"/>
      <c r="G55" s="5" t="n"/>
      <c r="H55" s="5" t="n"/>
      <c r="I55" s="5" t="n"/>
    </row>
    <row r="56">
      <c r="A56" s="9" t="inlineStr">
        <is>
          <t>2026-03</t>
        </is>
      </c>
      <c r="B56" s="5" t="inlineStr">
        <is>
          <t>Ambiental</t>
        </is>
      </c>
      <c r="C56" s="5" t="n"/>
      <c r="D56" s="5" t="n"/>
      <c r="E56" s="5" t="n"/>
      <c r="F56" s="5" t="n"/>
      <c r="G56" s="5" t="n"/>
      <c r="H56" s="5" t="n"/>
      <c r="I56" s="5" t="n"/>
    </row>
    <row r="57">
      <c r="A57" s="9" t="inlineStr">
        <is>
          <t>2026-03</t>
        </is>
      </c>
      <c r="B57" s="5" t="inlineStr">
        <is>
          <t>Forestal</t>
        </is>
      </c>
      <c r="C57" s="5" t="n"/>
      <c r="D57" s="5" t="n"/>
      <c r="E57" s="5" t="n"/>
      <c r="F57" s="5" t="n"/>
      <c r="G57" s="5" t="n"/>
      <c r="H57" s="5" t="n"/>
      <c r="I57" s="5" t="n"/>
    </row>
    <row r="58">
      <c r="A58" s="9" t="inlineStr">
        <is>
          <t>2026-03</t>
        </is>
      </c>
      <c r="B58" s="5" t="inlineStr">
        <is>
          <t>Logística</t>
        </is>
      </c>
      <c r="C58" s="5" t="n"/>
      <c r="D58" s="5" t="n"/>
      <c r="E58" s="5" t="n"/>
      <c r="F58" s="5" t="n"/>
      <c r="G58" s="5" t="n"/>
      <c r="H58" s="5" t="n"/>
      <c r="I58" s="5" t="n"/>
    </row>
    <row r="59">
      <c r="A59" s="9" t="inlineStr">
        <is>
          <t>2026-03</t>
        </is>
      </c>
      <c r="B59" s="5" t="inlineStr">
        <is>
          <t>Tecnología</t>
        </is>
      </c>
      <c r="C59" s="5" t="n"/>
      <c r="D59" s="5" t="n"/>
      <c r="E59" s="5" t="n"/>
      <c r="F59" s="5" t="n"/>
      <c r="G59" s="5" t="n"/>
      <c r="H59" s="5" t="n"/>
      <c r="I59" s="5" t="n"/>
    </row>
    <row r="60">
      <c r="A60" s="9" t="inlineStr">
        <is>
          <t>2026-03</t>
        </is>
      </c>
      <c r="B60" s="5" t="inlineStr">
        <is>
          <t>Ingeniería</t>
        </is>
      </c>
      <c r="C60" s="5" t="n"/>
      <c r="D60" s="5" t="n"/>
      <c r="E60" s="5" t="n"/>
      <c r="F60" s="5" t="n"/>
      <c r="G60" s="5" t="n"/>
      <c r="H60" s="5" t="n"/>
      <c r="I60" s="5" t="n"/>
    </row>
    <row r="61">
      <c r="A61" s="9" t="inlineStr">
        <is>
          <t>2026-04</t>
        </is>
      </c>
      <c r="B61" s="5" t="inlineStr">
        <is>
          <t>Talento Humano</t>
        </is>
      </c>
      <c r="C61" s="5" t="n"/>
      <c r="D61" s="5" t="n"/>
      <c r="E61" s="5" t="n"/>
      <c r="F61" s="5" t="n"/>
      <c r="G61" s="5" t="n"/>
      <c r="H61" s="5" t="n"/>
      <c r="I61" s="5" t="n"/>
    </row>
    <row r="62">
      <c r="A62" s="9" t="inlineStr">
        <is>
          <t>2026-04</t>
        </is>
      </c>
      <c r="B62" s="5" t="inlineStr">
        <is>
          <t>Seguridad Corporativa</t>
        </is>
      </c>
      <c r="C62" s="5" t="n"/>
      <c r="D62" s="5" t="n"/>
      <c r="E62" s="5" t="n"/>
      <c r="F62" s="5" t="n"/>
      <c r="G62" s="5" t="n"/>
      <c r="H62" s="5" t="n"/>
      <c r="I62" s="5" t="n"/>
    </row>
    <row r="63">
      <c r="A63" s="9" t="inlineStr">
        <is>
          <t>2026-04</t>
        </is>
      </c>
      <c r="B63" s="5" t="inlineStr">
        <is>
          <t>Salud y Seguridad</t>
        </is>
      </c>
      <c r="C63" s="5" t="n"/>
      <c r="D63" s="5" t="n"/>
      <c r="E63" s="5" t="n"/>
      <c r="F63" s="5" t="n"/>
      <c r="G63" s="5" t="n"/>
      <c r="H63" s="5" t="n"/>
      <c r="I63" s="5" t="n"/>
    </row>
    <row r="64">
      <c r="A64" s="9" t="inlineStr">
        <is>
          <t>2026-04</t>
        </is>
      </c>
      <c r="B64" s="5" t="inlineStr">
        <is>
          <t>Sustentabilidad Social</t>
        </is>
      </c>
      <c r="C64" s="5" t="n"/>
      <c r="D64" s="5" t="n"/>
      <c r="E64" s="5" t="n"/>
      <c r="F64" s="5" t="n"/>
      <c r="G64" s="5" t="n"/>
      <c r="H64" s="5" t="n"/>
      <c r="I64" s="5" t="n"/>
    </row>
    <row r="65">
      <c r="A65" s="9" t="inlineStr">
        <is>
          <t>2026-04</t>
        </is>
      </c>
      <c r="B65" s="5" t="inlineStr">
        <is>
          <t>Comunicaciones</t>
        </is>
      </c>
      <c r="C65" s="5" t="n"/>
      <c r="D65" s="5" t="n"/>
      <c r="E65" s="5" t="n"/>
      <c r="F65" s="5" t="n"/>
      <c r="G65" s="5" t="n"/>
      <c r="H65" s="5" t="n"/>
      <c r="I65" s="5" t="n"/>
    </row>
    <row r="66">
      <c r="A66" s="9" t="inlineStr">
        <is>
          <t>2026-04</t>
        </is>
      </c>
      <c r="B66" s="5" t="inlineStr">
        <is>
          <t>Compras</t>
        </is>
      </c>
      <c r="C66" s="5" t="n"/>
      <c r="D66" s="5" t="n"/>
      <c r="E66" s="5" t="n"/>
      <c r="F66" s="5" t="n"/>
      <c r="G66" s="5" t="n"/>
      <c r="H66" s="5" t="n"/>
      <c r="I66" s="5" t="n"/>
    </row>
    <row r="67">
      <c r="A67" s="9" t="inlineStr">
        <is>
          <t>2026-04</t>
        </is>
      </c>
      <c r="B67" s="5" t="inlineStr">
        <is>
          <t>Finanzas</t>
        </is>
      </c>
      <c r="C67" s="5" t="n"/>
      <c r="D67" s="5" t="n"/>
      <c r="E67" s="5" t="n"/>
      <c r="F67" s="5" t="n"/>
      <c r="G67" s="5" t="n"/>
      <c r="H67" s="5" t="n"/>
      <c r="I67" s="5" t="n"/>
    </row>
    <row r="68">
      <c r="A68" s="9" t="inlineStr">
        <is>
          <t>2026-04</t>
        </is>
      </c>
      <c r="B68" s="5" t="inlineStr">
        <is>
          <t>Tesorería</t>
        </is>
      </c>
      <c r="C68" s="5" t="n"/>
      <c r="D68" s="5" t="n"/>
      <c r="E68" s="5" t="n"/>
      <c r="F68" s="5" t="n"/>
      <c r="G68" s="5" t="n"/>
      <c r="H68" s="5" t="n"/>
      <c r="I68" s="5" t="n"/>
    </row>
    <row r="69">
      <c r="A69" s="9" t="inlineStr">
        <is>
          <t>2026-04</t>
        </is>
      </c>
      <c r="B69" s="5" t="inlineStr">
        <is>
          <t>Contabilidad</t>
        </is>
      </c>
      <c r="C69" s="5" t="n"/>
      <c r="D69" s="5" t="n"/>
      <c r="E69" s="5" t="n"/>
      <c r="F69" s="5" t="n"/>
      <c r="G69" s="5" t="n"/>
      <c r="H69" s="5" t="n"/>
      <c r="I69" s="5" t="n"/>
    </row>
    <row r="70">
      <c r="A70" s="9" t="inlineStr">
        <is>
          <t>2026-04</t>
        </is>
      </c>
      <c r="B70" s="5" t="inlineStr">
        <is>
          <t>Ambiental</t>
        </is>
      </c>
      <c r="C70" s="5" t="n"/>
      <c r="D70" s="5" t="n"/>
      <c r="E70" s="5" t="n"/>
      <c r="F70" s="5" t="n"/>
      <c r="G70" s="5" t="n"/>
      <c r="H70" s="5" t="n"/>
      <c r="I70" s="5" t="n"/>
    </row>
    <row r="71">
      <c r="A71" s="9" t="inlineStr">
        <is>
          <t>2026-04</t>
        </is>
      </c>
      <c r="B71" s="5" t="inlineStr">
        <is>
          <t>Forestal</t>
        </is>
      </c>
      <c r="C71" s="5" t="n"/>
      <c r="D71" s="5" t="n"/>
      <c r="E71" s="5" t="n"/>
      <c r="F71" s="5" t="n"/>
      <c r="G71" s="5" t="n"/>
      <c r="H71" s="5" t="n"/>
      <c r="I71" s="5" t="n"/>
    </row>
    <row r="72">
      <c r="A72" s="9" t="inlineStr">
        <is>
          <t>2026-04</t>
        </is>
      </c>
      <c r="B72" s="5" t="inlineStr">
        <is>
          <t>Logística</t>
        </is>
      </c>
      <c r="C72" s="5" t="n"/>
      <c r="D72" s="5" t="n"/>
      <c r="E72" s="5" t="n"/>
      <c r="F72" s="5" t="n"/>
      <c r="G72" s="5" t="n"/>
      <c r="H72" s="5" t="n"/>
      <c r="I72" s="5" t="n"/>
    </row>
    <row r="73">
      <c r="A73" s="9" t="inlineStr">
        <is>
          <t>2026-04</t>
        </is>
      </c>
      <c r="B73" s="5" t="inlineStr">
        <is>
          <t>Tecnología</t>
        </is>
      </c>
      <c r="C73" s="5" t="n"/>
      <c r="D73" s="5" t="n"/>
      <c r="E73" s="5" t="n"/>
      <c r="F73" s="5" t="n"/>
      <c r="G73" s="5" t="n"/>
      <c r="H73" s="5" t="n"/>
      <c r="I73" s="5" t="n"/>
    </row>
    <row r="74">
      <c r="A74" s="9" t="inlineStr">
        <is>
          <t>2026-04</t>
        </is>
      </c>
      <c r="B74" s="5" t="inlineStr">
        <is>
          <t>Ingeniería</t>
        </is>
      </c>
      <c r="C74" s="5" t="n"/>
      <c r="D74" s="5" t="n"/>
      <c r="E74" s="5" t="n"/>
      <c r="F74" s="5" t="n"/>
      <c r="G74" s="5" t="n"/>
      <c r="H74" s="5" t="n"/>
      <c r="I74" s="5" t="n"/>
    </row>
    <row r="75">
      <c r="A75" s="9" t="inlineStr">
        <is>
          <t>2026-05</t>
        </is>
      </c>
      <c r="B75" s="5" t="inlineStr">
        <is>
          <t>Talento Humano</t>
        </is>
      </c>
      <c r="C75" s="5" t="n"/>
      <c r="D75" s="5" t="n"/>
      <c r="E75" s="5" t="n"/>
      <c r="F75" s="5" t="n"/>
      <c r="G75" s="5" t="n"/>
      <c r="H75" s="5" t="n"/>
      <c r="I75" s="5" t="n"/>
    </row>
    <row r="76">
      <c r="A76" s="9" t="inlineStr">
        <is>
          <t>2026-05</t>
        </is>
      </c>
      <c r="B76" s="5" t="inlineStr">
        <is>
          <t>Seguridad Corporativa</t>
        </is>
      </c>
      <c r="C76" s="5" t="n"/>
      <c r="D76" s="5" t="n"/>
      <c r="E76" s="5" t="n"/>
      <c r="F76" s="5" t="n"/>
      <c r="G76" s="5" t="n"/>
      <c r="H76" s="5" t="n"/>
      <c r="I76" s="5" t="n"/>
    </row>
    <row r="77">
      <c r="A77" s="9" t="inlineStr">
        <is>
          <t>2026-05</t>
        </is>
      </c>
      <c r="B77" s="5" t="inlineStr">
        <is>
          <t>Salud y Seguridad</t>
        </is>
      </c>
      <c r="C77" s="5" t="n"/>
      <c r="D77" s="5" t="n"/>
      <c r="E77" s="5" t="n"/>
      <c r="F77" s="5" t="n"/>
      <c r="G77" s="5" t="n"/>
      <c r="H77" s="5" t="n"/>
      <c r="I77" s="5" t="n"/>
    </row>
    <row r="78">
      <c r="A78" s="9" t="inlineStr">
        <is>
          <t>2026-05</t>
        </is>
      </c>
      <c r="B78" s="5" t="inlineStr">
        <is>
          <t>Sustentabilidad Social</t>
        </is>
      </c>
      <c r="C78" s="5" t="n"/>
      <c r="D78" s="5" t="n"/>
      <c r="E78" s="5" t="n"/>
      <c r="F78" s="5" t="n"/>
      <c r="G78" s="5" t="n"/>
      <c r="H78" s="5" t="n"/>
      <c r="I78" s="5" t="n"/>
    </row>
    <row r="79">
      <c r="A79" s="9" t="inlineStr">
        <is>
          <t>2026-05</t>
        </is>
      </c>
      <c r="B79" s="5" t="inlineStr">
        <is>
          <t>Comunicaciones</t>
        </is>
      </c>
      <c r="C79" s="5" t="n"/>
      <c r="D79" s="5" t="n"/>
      <c r="E79" s="5" t="n"/>
      <c r="F79" s="5" t="n"/>
      <c r="G79" s="5" t="n"/>
      <c r="H79" s="5" t="n"/>
      <c r="I79" s="5" t="n"/>
    </row>
    <row r="80">
      <c r="A80" s="9" t="inlineStr">
        <is>
          <t>2026-05</t>
        </is>
      </c>
      <c r="B80" s="5" t="inlineStr">
        <is>
          <t>Compras</t>
        </is>
      </c>
      <c r="C80" s="5" t="n"/>
      <c r="D80" s="5" t="n"/>
      <c r="E80" s="5" t="n"/>
      <c r="F80" s="5" t="n"/>
      <c r="G80" s="5" t="n"/>
      <c r="H80" s="5" t="n"/>
      <c r="I80" s="5" t="n"/>
    </row>
    <row r="81">
      <c r="A81" s="9" t="inlineStr">
        <is>
          <t>2026-05</t>
        </is>
      </c>
      <c r="B81" s="5" t="inlineStr">
        <is>
          <t>Finanzas</t>
        </is>
      </c>
      <c r="C81" s="5" t="n"/>
      <c r="D81" s="5" t="n"/>
      <c r="E81" s="5" t="n"/>
      <c r="F81" s="5" t="n"/>
      <c r="G81" s="5" t="n"/>
      <c r="H81" s="5" t="n"/>
      <c r="I81" s="5" t="n"/>
    </row>
    <row r="82">
      <c r="A82" s="9" t="inlineStr">
        <is>
          <t>2026-05</t>
        </is>
      </c>
      <c r="B82" s="5" t="inlineStr">
        <is>
          <t>Tesorería</t>
        </is>
      </c>
      <c r="C82" s="5" t="n"/>
      <c r="D82" s="5" t="n"/>
      <c r="E82" s="5" t="n"/>
      <c r="F82" s="5" t="n"/>
      <c r="G82" s="5" t="n"/>
      <c r="H82" s="5" t="n"/>
      <c r="I82" s="5" t="n"/>
    </row>
    <row r="83">
      <c r="A83" s="9" t="inlineStr">
        <is>
          <t>2026-05</t>
        </is>
      </c>
      <c r="B83" s="5" t="inlineStr">
        <is>
          <t>Contabilidad</t>
        </is>
      </c>
      <c r="C83" s="5" t="n"/>
      <c r="D83" s="5" t="n"/>
      <c r="E83" s="5" t="n"/>
      <c r="F83" s="5" t="n"/>
      <c r="G83" s="5" t="n"/>
      <c r="H83" s="5" t="n"/>
      <c r="I83" s="5" t="n"/>
    </row>
    <row r="84">
      <c r="A84" s="9" t="inlineStr">
        <is>
          <t>2026-05</t>
        </is>
      </c>
      <c r="B84" s="5" t="inlineStr">
        <is>
          <t>Ambiental</t>
        </is>
      </c>
      <c r="C84" s="5" t="n"/>
      <c r="D84" s="5" t="n"/>
      <c r="E84" s="5" t="n"/>
      <c r="F84" s="5" t="n"/>
      <c r="G84" s="5" t="n"/>
      <c r="H84" s="5" t="n"/>
      <c r="I84" s="5" t="n"/>
    </row>
    <row r="85">
      <c r="A85" s="9" t="inlineStr">
        <is>
          <t>2026-05</t>
        </is>
      </c>
      <c r="B85" s="5" t="inlineStr">
        <is>
          <t>Forestal</t>
        </is>
      </c>
      <c r="C85" s="5" t="n"/>
      <c r="D85" s="5" t="n"/>
      <c r="E85" s="5" t="n"/>
      <c r="F85" s="5" t="n"/>
      <c r="G85" s="5" t="n"/>
      <c r="H85" s="5" t="n"/>
      <c r="I85" s="5" t="n"/>
    </row>
    <row r="86">
      <c r="A86" s="9" t="inlineStr">
        <is>
          <t>2026-05</t>
        </is>
      </c>
      <c r="B86" s="5" t="inlineStr">
        <is>
          <t>Logística</t>
        </is>
      </c>
      <c r="C86" s="5" t="n"/>
      <c r="D86" s="5" t="n"/>
      <c r="E86" s="5" t="n"/>
      <c r="F86" s="5" t="n"/>
      <c r="G86" s="5" t="n"/>
      <c r="H86" s="5" t="n"/>
      <c r="I86" s="5" t="n"/>
    </row>
    <row r="87">
      <c r="A87" s="9" t="inlineStr">
        <is>
          <t>2026-05</t>
        </is>
      </c>
      <c r="B87" s="5" t="inlineStr">
        <is>
          <t>Tecnología</t>
        </is>
      </c>
      <c r="C87" s="5" t="n"/>
      <c r="D87" s="5" t="n"/>
      <c r="E87" s="5" t="n"/>
      <c r="F87" s="5" t="n"/>
      <c r="G87" s="5" t="n"/>
      <c r="H87" s="5" t="n"/>
      <c r="I87" s="5" t="n"/>
    </row>
    <row r="88">
      <c r="A88" s="9" t="inlineStr">
        <is>
          <t>2026-05</t>
        </is>
      </c>
      <c r="B88" s="5" t="inlineStr">
        <is>
          <t>Ingeniería</t>
        </is>
      </c>
      <c r="C88" s="5" t="n"/>
      <c r="D88" s="5" t="n"/>
      <c r="E88" s="5" t="n"/>
      <c r="F88" s="5" t="n"/>
      <c r="G88" s="5" t="n"/>
      <c r="H88" s="5" t="n"/>
      <c r="I88" s="5" t="n"/>
    </row>
    <row r="89">
      <c r="A89" s="9" t="inlineStr">
        <is>
          <t>2026-06</t>
        </is>
      </c>
      <c r="B89" s="5" t="inlineStr">
        <is>
          <t>Talento Humano</t>
        </is>
      </c>
      <c r="C89" s="5" t="n"/>
      <c r="D89" s="5" t="n"/>
      <c r="E89" s="5" t="n"/>
      <c r="F89" s="5" t="n"/>
      <c r="G89" s="5" t="n"/>
      <c r="H89" s="5" t="n"/>
      <c r="I89" s="5" t="n"/>
    </row>
    <row r="90">
      <c r="A90" s="9" t="inlineStr">
        <is>
          <t>2026-06</t>
        </is>
      </c>
      <c r="B90" s="5" t="inlineStr">
        <is>
          <t>Seguridad Corporativa</t>
        </is>
      </c>
      <c r="C90" s="5" t="n"/>
      <c r="D90" s="5" t="n"/>
      <c r="E90" s="5" t="n"/>
      <c r="F90" s="5" t="n"/>
      <c r="G90" s="5" t="n"/>
      <c r="H90" s="5" t="n"/>
      <c r="I90" s="5" t="n"/>
    </row>
    <row r="91">
      <c r="A91" s="9" t="inlineStr">
        <is>
          <t>2026-06</t>
        </is>
      </c>
      <c r="B91" s="5" t="inlineStr">
        <is>
          <t>Salud y Seguridad</t>
        </is>
      </c>
      <c r="C91" s="5" t="n"/>
      <c r="D91" s="5" t="n"/>
      <c r="E91" s="5" t="n"/>
      <c r="F91" s="5" t="n"/>
      <c r="G91" s="5" t="n"/>
      <c r="H91" s="5" t="n"/>
      <c r="I91" s="5" t="n"/>
    </row>
    <row r="92">
      <c r="A92" s="9" t="inlineStr">
        <is>
          <t>2026-06</t>
        </is>
      </c>
      <c r="B92" s="5" t="inlineStr">
        <is>
          <t>Sustentabilidad Social</t>
        </is>
      </c>
      <c r="C92" s="5" t="n"/>
      <c r="D92" s="5" t="n"/>
      <c r="E92" s="5" t="n"/>
      <c r="F92" s="5" t="n"/>
      <c r="G92" s="5" t="n"/>
      <c r="H92" s="5" t="n"/>
      <c r="I92" s="5" t="n"/>
    </row>
    <row r="93">
      <c r="A93" s="9" t="inlineStr">
        <is>
          <t>2026-06</t>
        </is>
      </c>
      <c r="B93" s="5" t="inlineStr">
        <is>
          <t>Comunicaciones</t>
        </is>
      </c>
      <c r="C93" s="5" t="n"/>
      <c r="D93" s="5" t="n"/>
      <c r="E93" s="5" t="n"/>
      <c r="F93" s="5" t="n"/>
      <c r="G93" s="5" t="n"/>
      <c r="H93" s="5" t="n"/>
      <c r="I93" s="5" t="n"/>
    </row>
    <row r="94">
      <c r="A94" s="9" t="inlineStr">
        <is>
          <t>2026-06</t>
        </is>
      </c>
      <c r="B94" s="5" t="inlineStr">
        <is>
          <t>Compras</t>
        </is>
      </c>
      <c r="C94" s="5" t="n"/>
      <c r="D94" s="5" t="n"/>
      <c r="E94" s="5" t="n"/>
      <c r="F94" s="5" t="n"/>
      <c r="G94" s="5" t="n"/>
      <c r="H94" s="5" t="n"/>
      <c r="I94" s="5" t="n"/>
    </row>
    <row r="95">
      <c r="A95" s="9" t="inlineStr">
        <is>
          <t>2026-06</t>
        </is>
      </c>
      <c r="B95" s="5" t="inlineStr">
        <is>
          <t>Finanzas</t>
        </is>
      </c>
      <c r="C95" s="5" t="n"/>
      <c r="D95" s="5" t="n"/>
      <c r="E95" s="5" t="n"/>
      <c r="F95" s="5" t="n"/>
      <c r="G95" s="5" t="n"/>
      <c r="H95" s="5" t="n"/>
      <c r="I95" s="5" t="n"/>
    </row>
    <row r="96">
      <c r="A96" s="9" t="inlineStr">
        <is>
          <t>2026-06</t>
        </is>
      </c>
      <c r="B96" s="5" t="inlineStr">
        <is>
          <t>Tesorería</t>
        </is>
      </c>
      <c r="C96" s="5" t="n"/>
      <c r="D96" s="5" t="n"/>
      <c r="E96" s="5" t="n"/>
      <c r="F96" s="5" t="n"/>
      <c r="G96" s="5" t="n"/>
      <c r="H96" s="5" t="n"/>
      <c r="I96" s="5" t="n"/>
    </row>
    <row r="97">
      <c r="A97" s="9" t="inlineStr">
        <is>
          <t>2026-06</t>
        </is>
      </c>
      <c r="B97" s="5" t="inlineStr">
        <is>
          <t>Contabilidad</t>
        </is>
      </c>
      <c r="C97" s="5" t="n"/>
      <c r="D97" s="5" t="n"/>
      <c r="E97" s="5" t="n"/>
      <c r="F97" s="5" t="n"/>
      <c r="G97" s="5" t="n"/>
      <c r="H97" s="5" t="n"/>
      <c r="I97" s="5" t="n"/>
    </row>
    <row r="98">
      <c r="A98" s="9" t="inlineStr">
        <is>
          <t>2026-06</t>
        </is>
      </c>
      <c r="B98" s="5" t="inlineStr">
        <is>
          <t>Ambiental</t>
        </is>
      </c>
      <c r="C98" s="5" t="n"/>
      <c r="D98" s="5" t="n"/>
      <c r="E98" s="5" t="n"/>
      <c r="F98" s="5" t="n"/>
      <c r="G98" s="5" t="n"/>
      <c r="H98" s="5" t="n"/>
      <c r="I98" s="5" t="n"/>
    </row>
    <row r="99">
      <c r="A99" s="9" t="inlineStr">
        <is>
          <t>2026-06</t>
        </is>
      </c>
      <c r="B99" s="5" t="inlineStr">
        <is>
          <t>Forestal</t>
        </is>
      </c>
      <c r="C99" s="5" t="n"/>
      <c r="D99" s="5" t="n"/>
      <c r="E99" s="5" t="n"/>
      <c r="F99" s="5" t="n"/>
      <c r="G99" s="5" t="n"/>
      <c r="H99" s="5" t="n"/>
      <c r="I99" s="5" t="n"/>
    </row>
    <row r="100">
      <c r="A100" s="9" t="inlineStr">
        <is>
          <t>2026-06</t>
        </is>
      </c>
      <c r="B100" s="5" t="inlineStr">
        <is>
          <t>Logística</t>
        </is>
      </c>
      <c r="C100" s="5" t="n"/>
      <c r="D100" s="5" t="n"/>
      <c r="E100" s="5" t="n"/>
      <c r="F100" s="5" t="n"/>
      <c r="G100" s="5" t="n"/>
      <c r="H100" s="5" t="n"/>
      <c r="I100" s="5" t="n"/>
    </row>
    <row r="101">
      <c r="A101" s="9" t="inlineStr">
        <is>
          <t>2026-06</t>
        </is>
      </c>
      <c r="B101" s="5" t="inlineStr">
        <is>
          <t>Tecnología</t>
        </is>
      </c>
      <c r="C101" s="5" t="n"/>
      <c r="D101" s="5" t="n"/>
      <c r="E101" s="5" t="n"/>
      <c r="F101" s="5" t="n"/>
      <c r="G101" s="5" t="n"/>
      <c r="H101" s="5" t="n"/>
      <c r="I101" s="5" t="n"/>
    </row>
    <row r="102">
      <c r="A102" s="9" t="inlineStr">
        <is>
          <t>2026-06</t>
        </is>
      </c>
      <c r="B102" s="5" t="inlineStr">
        <is>
          <t>Ingeniería</t>
        </is>
      </c>
      <c r="C102" s="5" t="n"/>
      <c r="D102" s="5" t="n"/>
      <c r="E102" s="5" t="n"/>
      <c r="F102" s="5" t="n"/>
      <c r="G102" s="5" t="n"/>
      <c r="H102" s="5" t="n"/>
      <c r="I102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</cols>
  <sheetData>
    <row r="1" ht="26" customHeight="1">
      <c r="A1" s="1" t="inlineStr">
        <is>
          <t>DET_TH_SEXO</t>
        </is>
      </c>
    </row>
    <row r="4">
      <c r="A4" s="8" t="inlineStr">
        <is>
          <t>period_key</t>
        </is>
      </c>
      <c r="B4" s="8" t="inlineStr">
        <is>
          <t>business_unit</t>
        </is>
      </c>
      <c r="C4" s="8" t="inlineStr">
        <is>
          <t>female_count</t>
        </is>
      </c>
      <c r="D4" s="8" t="inlineStr">
        <is>
          <t>female_pct</t>
        </is>
      </c>
      <c r="E4" s="8" t="inlineStr">
        <is>
          <t>male_count</t>
        </is>
      </c>
      <c r="F4" s="8" t="inlineStr">
        <is>
          <t>male_pct</t>
        </is>
      </c>
      <c r="G4" s="8" t="inlineStr">
        <is>
          <t>observation</t>
        </is>
      </c>
    </row>
    <row r="5">
      <c r="A5" s="9" t="inlineStr">
        <is>
          <t>2026-01</t>
        </is>
      </c>
      <c r="B5" s="5" t="inlineStr">
        <is>
          <t>Paracel</t>
        </is>
      </c>
      <c r="C5" s="11" t="n">
        <v>61</v>
      </c>
      <c r="D5" s="29" t="n">
        <v>0.4485294117647059</v>
      </c>
      <c r="E5" s="11" t="n">
        <v>75</v>
      </c>
      <c r="F5" s="29" t="n">
        <v>0.5514705882352942</v>
      </c>
      <c r="G5" s="5" t="n"/>
    </row>
    <row r="6">
      <c r="A6" s="9" t="inlineStr">
        <is>
          <t>2026-02</t>
        </is>
      </c>
      <c r="B6" s="5" t="inlineStr">
        <is>
          <t>Paracel</t>
        </is>
      </c>
      <c r="C6" s="11" t="n">
        <v>61</v>
      </c>
      <c r="D6" s="29" t="n">
        <v>0.4357142857142857</v>
      </c>
      <c r="E6" s="11" t="n">
        <v>79</v>
      </c>
      <c r="F6" s="29" t="n">
        <v>0.5642857142857143</v>
      </c>
      <c r="G6" s="5" t="n"/>
    </row>
    <row r="7">
      <c r="A7" s="9" t="inlineStr">
        <is>
          <t>2026-03</t>
        </is>
      </c>
      <c r="B7" s="5" t="inlineStr">
        <is>
          <t>Paracel</t>
        </is>
      </c>
      <c r="C7" s="5" t="n"/>
      <c r="D7" s="29" t="n"/>
      <c r="E7" s="5" t="n"/>
      <c r="F7" s="29" t="n"/>
      <c r="G7" s="5" t="n"/>
    </row>
    <row r="8">
      <c r="A8" s="9" t="inlineStr">
        <is>
          <t>2026-04</t>
        </is>
      </c>
      <c r="B8" s="5" t="inlineStr">
        <is>
          <t>Paracel</t>
        </is>
      </c>
      <c r="C8" s="5" t="n"/>
      <c r="D8" s="29" t="n"/>
      <c r="E8" s="5" t="n"/>
      <c r="F8" s="29" t="n"/>
      <c r="G8" s="5" t="n"/>
    </row>
    <row r="9">
      <c r="A9" s="9" t="inlineStr">
        <is>
          <t>2026-05</t>
        </is>
      </c>
      <c r="B9" s="5" t="inlineStr">
        <is>
          <t>Paracel</t>
        </is>
      </c>
      <c r="C9" s="5" t="n"/>
      <c r="D9" s="29" t="n"/>
      <c r="E9" s="5" t="n"/>
      <c r="F9" s="29" t="n"/>
      <c r="G9" s="5" t="n"/>
    </row>
    <row r="10">
      <c r="A10" s="9" t="inlineStr">
        <is>
          <t>2026-06</t>
        </is>
      </c>
      <c r="B10" s="5" t="inlineStr">
        <is>
          <t>Paracel</t>
        </is>
      </c>
      <c r="C10" s="5" t="n"/>
      <c r="D10" s="29" t="n"/>
      <c r="E10" s="5" t="n"/>
      <c r="F10" s="29" t="n"/>
      <c r="G10" s="5" t="n"/>
    </row>
    <row r="11">
      <c r="A11" s="9" t="inlineStr">
        <is>
          <t>2026-01</t>
        </is>
      </c>
      <c r="B11" s="5" t="inlineStr">
        <is>
          <t>Industrial</t>
        </is>
      </c>
      <c r="C11" s="11" t="n">
        <v>12</v>
      </c>
      <c r="D11" s="29" t="n">
        <v>0.09230769230769231</v>
      </c>
      <c r="E11" s="11" t="n">
        <v>118</v>
      </c>
      <c r="F11" s="29" t="n">
        <v>0.9076923076923077</v>
      </c>
      <c r="G11" s="5" t="n"/>
    </row>
    <row r="12">
      <c r="A12" s="9" t="inlineStr">
        <is>
          <t>2026-02</t>
        </is>
      </c>
      <c r="B12" s="5" t="inlineStr">
        <is>
          <t>Industrial</t>
        </is>
      </c>
      <c r="C12" s="11" t="n">
        <v>20</v>
      </c>
      <c r="D12" s="29" t="n">
        <v>0.1470588235294118</v>
      </c>
      <c r="E12" s="11" t="n">
        <v>116</v>
      </c>
      <c r="F12" s="29" t="n">
        <v>0.8529411764705882</v>
      </c>
      <c r="G12" s="5" t="n"/>
    </row>
    <row r="13">
      <c r="A13" s="9" t="inlineStr">
        <is>
          <t>2026-03</t>
        </is>
      </c>
      <c r="B13" s="5" t="inlineStr">
        <is>
          <t>Industrial</t>
        </is>
      </c>
      <c r="C13" s="5" t="n"/>
      <c r="D13" s="29" t="n"/>
      <c r="E13" s="5" t="n"/>
      <c r="F13" s="29" t="n"/>
      <c r="G13" s="5" t="n"/>
    </row>
    <row r="14">
      <c r="A14" s="9" t="inlineStr">
        <is>
          <t>2026-04</t>
        </is>
      </c>
      <c r="B14" s="5" t="inlineStr">
        <is>
          <t>Industrial</t>
        </is>
      </c>
      <c r="C14" s="5" t="n"/>
      <c r="D14" s="29" t="n"/>
      <c r="E14" s="5" t="n"/>
      <c r="F14" s="29" t="n"/>
      <c r="G14" s="5" t="n"/>
    </row>
    <row r="15">
      <c r="A15" s="9" t="inlineStr">
        <is>
          <t>2026-05</t>
        </is>
      </c>
      <c r="B15" s="5" t="inlineStr">
        <is>
          <t>Industrial</t>
        </is>
      </c>
      <c r="C15" s="5" t="n"/>
      <c r="D15" s="29" t="n"/>
      <c r="E15" s="5" t="n"/>
      <c r="F15" s="29" t="n"/>
      <c r="G15" s="5" t="n"/>
    </row>
    <row r="16">
      <c r="A16" s="9" t="inlineStr">
        <is>
          <t>2026-06</t>
        </is>
      </c>
      <c r="B16" s="5" t="inlineStr">
        <is>
          <t>Industrial</t>
        </is>
      </c>
      <c r="C16" s="5" t="n"/>
      <c r="D16" s="29" t="n"/>
      <c r="E16" s="5" t="n"/>
      <c r="F16" s="29" t="n"/>
      <c r="G16" s="5" t="n"/>
    </row>
    <row r="17">
      <c r="A17" s="9" t="inlineStr">
        <is>
          <t>2026-01</t>
        </is>
      </c>
      <c r="B17" s="5" t="inlineStr">
        <is>
          <t>Forestal</t>
        </is>
      </c>
      <c r="C17" s="11" t="n">
        <v>86</v>
      </c>
      <c r="D17" s="29" t="n">
        <v>0.09930715935334873</v>
      </c>
      <c r="E17" s="11" t="n">
        <v>780</v>
      </c>
      <c r="F17" s="29" t="n">
        <v>0.9006928406466512</v>
      </c>
      <c r="G17" s="5" t="n"/>
    </row>
    <row r="18">
      <c r="A18" s="9" t="inlineStr">
        <is>
          <t>2026-02</t>
        </is>
      </c>
      <c r="B18" s="5" t="inlineStr">
        <is>
          <t>Forestal</t>
        </is>
      </c>
      <c r="C18" s="11" t="n">
        <v>84</v>
      </c>
      <c r="D18" s="29" t="n">
        <v>0.1052631578947368</v>
      </c>
      <c r="E18" s="11" t="n">
        <v>714</v>
      </c>
      <c r="F18" s="29" t="n">
        <v>0.8947368421052632</v>
      </c>
      <c r="G18" s="5" t="n"/>
    </row>
    <row r="19">
      <c r="A19" s="9" t="inlineStr">
        <is>
          <t>2026-03</t>
        </is>
      </c>
      <c r="B19" s="5" t="inlineStr">
        <is>
          <t>Forestal</t>
        </is>
      </c>
      <c r="C19" s="5" t="n"/>
      <c r="D19" s="29" t="n"/>
      <c r="E19" s="5" t="n"/>
      <c r="F19" s="29" t="n"/>
      <c r="G19" s="5" t="n"/>
    </row>
    <row r="20">
      <c r="A20" s="9" t="inlineStr">
        <is>
          <t>2026-04</t>
        </is>
      </c>
      <c r="B20" s="5" t="inlineStr">
        <is>
          <t>Forestal</t>
        </is>
      </c>
      <c r="C20" s="5" t="n"/>
      <c r="D20" s="29" t="n"/>
      <c r="E20" s="5" t="n"/>
      <c r="F20" s="29" t="n"/>
      <c r="G20" s="5" t="n"/>
    </row>
    <row r="21">
      <c r="A21" s="9" t="inlineStr">
        <is>
          <t>2026-05</t>
        </is>
      </c>
      <c r="B21" s="5" t="inlineStr">
        <is>
          <t>Forestal</t>
        </is>
      </c>
      <c r="C21" s="5" t="n"/>
      <c r="D21" s="29" t="n"/>
      <c r="E21" s="5" t="n"/>
      <c r="F21" s="29" t="n"/>
      <c r="G21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</cols>
  <sheetData>
    <row r="1" ht="26" customHeight="1">
      <c r="A1" s="1" t="inlineStr">
        <is>
          <t>DET_TH_DEPARTAMENTO</t>
        </is>
      </c>
    </row>
    <row r="4">
      <c r="A4" s="8" t="inlineStr">
        <is>
          <t>period_key</t>
        </is>
      </c>
      <c r="B4" s="8" t="inlineStr">
        <is>
          <t>departamento</t>
        </is>
      </c>
      <c r="C4" s="8" t="inlineStr">
        <is>
          <t>total_paracel</t>
        </is>
      </c>
      <c r="D4" s="8" t="inlineStr">
        <is>
          <t>pct_paracel</t>
        </is>
      </c>
      <c r="E4" s="8" t="inlineStr">
        <is>
          <t>total_forestal</t>
        </is>
      </c>
      <c r="F4" s="8" t="inlineStr">
        <is>
          <t>pct_forestal</t>
        </is>
      </c>
      <c r="G4" s="8" t="inlineStr">
        <is>
          <t>observation</t>
        </is>
      </c>
    </row>
    <row r="5">
      <c r="A5" s="9" t="inlineStr">
        <is>
          <t>2026-01</t>
        </is>
      </c>
      <c r="B5" s="5" t="inlineStr">
        <is>
          <t>Asunción</t>
        </is>
      </c>
      <c r="C5" s="11" t="n">
        <v>31</v>
      </c>
      <c r="D5" s="29" t="n">
        <v>0.2818181818181818</v>
      </c>
      <c r="E5" s="5" t="n"/>
      <c r="F5" s="29" t="n"/>
      <c r="G5" s="5" t="n"/>
    </row>
    <row r="6">
      <c r="A6" s="9" t="inlineStr">
        <is>
          <t>2026-01</t>
        </is>
      </c>
      <c r="B6" s="5" t="inlineStr">
        <is>
          <t>Concepción</t>
        </is>
      </c>
      <c r="C6" s="11" t="n">
        <v>33</v>
      </c>
      <c r="D6" s="29" t="n">
        <v>0.3</v>
      </c>
      <c r="E6" s="5" t="n"/>
      <c r="F6" s="29" t="n"/>
      <c r="G6" s="5" t="n"/>
    </row>
    <row r="7">
      <c r="A7" s="9" t="inlineStr">
        <is>
          <t>2026-01</t>
        </is>
      </c>
      <c r="B7" s="5" t="inlineStr">
        <is>
          <t>San Pedro</t>
        </is>
      </c>
      <c r="C7" s="11" t="n">
        <v>0</v>
      </c>
      <c r="D7" s="29" t="n">
        <v>0</v>
      </c>
      <c r="E7" s="5" t="n"/>
      <c r="F7" s="29" t="n"/>
      <c r="G7" s="5" t="n"/>
    </row>
    <row r="8">
      <c r="A8" s="9" t="inlineStr">
        <is>
          <t>2026-01</t>
        </is>
      </c>
      <c r="B8" s="5" t="inlineStr">
        <is>
          <t>Cordillera</t>
        </is>
      </c>
      <c r="C8" s="11" t="n">
        <v>1</v>
      </c>
      <c r="D8" s="29" t="n">
        <v>0.00909090909090909</v>
      </c>
      <c r="E8" s="5" t="n"/>
      <c r="F8" s="29" t="n"/>
      <c r="G8" s="5" t="n"/>
    </row>
    <row r="9">
      <c r="A9" s="9" t="inlineStr">
        <is>
          <t>2026-01</t>
        </is>
      </c>
      <c r="B9" s="5" t="inlineStr">
        <is>
          <t>Guairá</t>
        </is>
      </c>
      <c r="C9" s="11" t="n">
        <v>1</v>
      </c>
      <c r="D9" s="29" t="n">
        <v>0.00909090909090909</v>
      </c>
      <c r="E9" s="5" t="n"/>
      <c r="F9" s="29" t="n"/>
      <c r="G9" s="5" t="n"/>
    </row>
    <row r="10">
      <c r="A10" s="9" t="inlineStr">
        <is>
          <t>2026-01</t>
        </is>
      </c>
      <c r="B10" s="5" t="inlineStr">
        <is>
          <t>Caaguazú</t>
        </is>
      </c>
      <c r="C10" s="11" t="n">
        <v>2</v>
      </c>
      <c r="D10" s="29" t="n">
        <v>0.01818181818181818</v>
      </c>
      <c r="E10" s="5" t="n"/>
      <c r="F10" s="29" t="n"/>
      <c r="G10" s="5" t="n"/>
    </row>
    <row r="11">
      <c r="A11" s="9" t="inlineStr">
        <is>
          <t>2026-01</t>
        </is>
      </c>
      <c r="B11" s="5" t="inlineStr">
        <is>
          <t>Caazapá</t>
        </is>
      </c>
      <c r="C11" s="11" t="n">
        <v>1</v>
      </c>
      <c r="D11" s="29" t="n">
        <v>0.00909090909090909</v>
      </c>
      <c r="E11" s="5" t="n"/>
      <c r="F11" s="29" t="n"/>
      <c r="G11" s="5" t="n"/>
    </row>
    <row r="12">
      <c r="A12" s="9" t="inlineStr">
        <is>
          <t>2026-01</t>
        </is>
      </c>
      <c r="B12" s="5" t="inlineStr">
        <is>
          <t>Itapúa</t>
        </is>
      </c>
      <c r="C12" s="11" t="n">
        <v>0</v>
      </c>
      <c r="D12" s="29" t="n">
        <v>0</v>
      </c>
      <c r="E12" s="5" t="n"/>
      <c r="F12" s="29" t="n"/>
      <c r="G12" s="5" t="n"/>
    </row>
    <row r="13">
      <c r="A13" s="9" t="inlineStr">
        <is>
          <t>2026-01</t>
        </is>
      </c>
      <c r="B13" s="5" t="inlineStr">
        <is>
          <t>Misiones</t>
        </is>
      </c>
      <c r="C13" s="11" t="n">
        <v>0</v>
      </c>
      <c r="D13" s="29" t="n">
        <v>0</v>
      </c>
      <c r="E13" s="5" t="n"/>
      <c r="F13" s="29" t="n"/>
      <c r="G13" s="5" t="n"/>
    </row>
    <row r="14">
      <c r="A14" s="9" t="inlineStr">
        <is>
          <t>2026-01</t>
        </is>
      </c>
      <c r="B14" s="5" t="inlineStr">
        <is>
          <t>Paraguarí</t>
        </is>
      </c>
      <c r="C14" s="11" t="n">
        <v>0</v>
      </c>
      <c r="D14" s="29" t="n">
        <v>0</v>
      </c>
      <c r="E14" s="5" t="n"/>
      <c r="F14" s="29" t="n"/>
      <c r="G14" s="5" t="n"/>
    </row>
    <row r="15">
      <c r="A15" s="9" t="inlineStr">
        <is>
          <t>2026-01</t>
        </is>
      </c>
      <c r="B15" s="5" t="inlineStr">
        <is>
          <t>Alto Paraná</t>
        </is>
      </c>
      <c r="C15" s="11" t="n">
        <v>0</v>
      </c>
      <c r="D15" s="29" t="n">
        <v>0</v>
      </c>
      <c r="E15" s="5" t="n"/>
      <c r="F15" s="29" t="n"/>
      <c r="G15" s="5" t="n"/>
    </row>
    <row r="16">
      <c r="A16" s="9" t="inlineStr">
        <is>
          <t>2026-01</t>
        </is>
      </c>
      <c r="B16" s="5" t="inlineStr">
        <is>
          <t>Central</t>
        </is>
      </c>
      <c r="C16" s="11" t="n">
        <v>40</v>
      </c>
      <c r="D16" s="29" t="n">
        <v>0.3636363636363636</v>
      </c>
      <c r="E16" s="5" t="n"/>
      <c r="F16" s="29" t="n"/>
      <c r="G16" s="5" t="n"/>
    </row>
    <row r="17">
      <c r="A17" s="9" t="inlineStr">
        <is>
          <t>2026-01</t>
        </is>
      </c>
      <c r="B17" s="5" t="inlineStr">
        <is>
          <t>Ñeembucú</t>
        </is>
      </c>
      <c r="C17" s="11" t="n">
        <v>1</v>
      </c>
      <c r="D17" s="29" t="n">
        <v>0.00909090909090909</v>
      </c>
      <c r="E17" s="5" t="n"/>
      <c r="F17" s="29" t="n"/>
      <c r="G17" s="5" t="n"/>
    </row>
    <row r="18">
      <c r="A18" s="9" t="inlineStr">
        <is>
          <t>2026-01</t>
        </is>
      </c>
      <c r="B18" s="5" t="inlineStr">
        <is>
          <t>Amambay</t>
        </is>
      </c>
      <c r="C18" s="11" t="n">
        <v>0</v>
      </c>
      <c r="D18" s="29" t="n">
        <v>0</v>
      </c>
      <c r="E18" s="5" t="n"/>
      <c r="F18" s="29" t="n"/>
      <c r="G18" s="5" t="n"/>
    </row>
    <row r="19">
      <c r="A19" s="9" t="inlineStr">
        <is>
          <t>2026-01</t>
        </is>
      </c>
      <c r="B19" s="5" t="inlineStr">
        <is>
          <t>Canindeyú</t>
        </is>
      </c>
      <c r="C19" s="11" t="n">
        <v>0</v>
      </c>
      <c r="D19" s="29" t="n">
        <v>0</v>
      </c>
      <c r="E19" s="5" t="n"/>
      <c r="F19" s="29" t="n"/>
      <c r="G19" s="5" t="n"/>
    </row>
    <row r="20">
      <c r="A20" s="9" t="inlineStr">
        <is>
          <t>2026-01</t>
        </is>
      </c>
      <c r="B20" s="5" t="inlineStr">
        <is>
          <t>Presidente Hayes</t>
        </is>
      </c>
      <c r="C20" s="11" t="n">
        <v>0</v>
      </c>
      <c r="D20" s="29" t="n">
        <v>0</v>
      </c>
      <c r="E20" s="5" t="n"/>
      <c r="F20" s="29" t="n"/>
      <c r="G20" s="5" t="n"/>
    </row>
    <row r="21">
      <c r="A21" s="9" t="inlineStr">
        <is>
          <t>2026-01</t>
        </is>
      </c>
      <c r="B21" s="5" t="inlineStr">
        <is>
          <t>Boquerón</t>
        </is>
      </c>
      <c r="C21" s="11" t="n">
        <v>0</v>
      </c>
      <c r="D21" s="29" t="n">
        <v>0</v>
      </c>
      <c r="E21" s="5" t="n"/>
      <c r="F21" s="29" t="n"/>
      <c r="G21" s="5" t="n"/>
    </row>
    <row r="22">
      <c r="A22" s="9" t="inlineStr">
        <is>
          <t>2026-01</t>
        </is>
      </c>
      <c r="B22" s="5" t="inlineStr">
        <is>
          <t>Alto Paraguay</t>
        </is>
      </c>
      <c r="C22" s="11" t="n">
        <v>0</v>
      </c>
      <c r="D22" s="29" t="n">
        <v>0</v>
      </c>
      <c r="E22" s="5" t="n"/>
      <c r="F22" s="29" t="n"/>
      <c r="G22" s="5" t="n"/>
    </row>
    <row r="23">
      <c r="A23" s="9" t="inlineStr">
        <is>
          <t>2026-02</t>
        </is>
      </c>
      <c r="B23" s="5" t="inlineStr">
        <is>
          <t>Asunción</t>
        </is>
      </c>
      <c r="C23" s="11" t="n">
        <v>32</v>
      </c>
      <c r="D23" s="29" t="n">
        <v>0.2807017543859649</v>
      </c>
      <c r="E23" s="5" t="n"/>
      <c r="F23" s="29" t="n"/>
      <c r="G23" s="5" t="n"/>
    </row>
    <row r="24">
      <c r="A24" s="9" t="inlineStr">
        <is>
          <t>2026-02</t>
        </is>
      </c>
      <c r="B24" s="5" t="inlineStr">
        <is>
          <t>Concepción</t>
        </is>
      </c>
      <c r="C24" s="11" t="n">
        <v>36</v>
      </c>
      <c r="D24" s="29" t="n">
        <v>0.3157894736842105</v>
      </c>
      <c r="E24" s="5" t="n"/>
      <c r="F24" s="29" t="n"/>
      <c r="G24" s="5" t="n"/>
    </row>
    <row r="25">
      <c r="A25" s="9" t="inlineStr">
        <is>
          <t>2026-02</t>
        </is>
      </c>
      <c r="B25" s="5" t="inlineStr">
        <is>
          <t>San Pedro</t>
        </is>
      </c>
      <c r="C25" s="11" t="n">
        <v>0</v>
      </c>
      <c r="D25" s="29" t="n">
        <v>0</v>
      </c>
      <c r="E25" s="5" t="n"/>
      <c r="F25" s="29" t="n"/>
      <c r="G25" s="5" t="n"/>
    </row>
    <row r="26">
      <c r="A26" s="9" t="inlineStr">
        <is>
          <t>2026-02</t>
        </is>
      </c>
      <c r="B26" s="5" t="inlineStr">
        <is>
          <t>Cordillera</t>
        </is>
      </c>
      <c r="C26" s="11" t="n">
        <v>1</v>
      </c>
      <c r="D26" s="29" t="n">
        <v>0.008771929824561403</v>
      </c>
      <c r="E26" s="5" t="n"/>
      <c r="F26" s="29" t="n"/>
      <c r="G26" s="5" t="n"/>
    </row>
    <row r="27">
      <c r="A27" s="9" t="inlineStr">
        <is>
          <t>2026-02</t>
        </is>
      </c>
      <c r="B27" s="5" t="inlineStr">
        <is>
          <t>Guairá</t>
        </is>
      </c>
      <c r="C27" s="11" t="n">
        <v>1</v>
      </c>
      <c r="D27" s="29" t="n">
        <v>0.008771929824561403</v>
      </c>
      <c r="E27" s="5" t="n"/>
      <c r="F27" s="29" t="n"/>
      <c r="G27" s="5" t="n"/>
    </row>
    <row r="28">
      <c r="A28" s="9" t="inlineStr">
        <is>
          <t>2026-02</t>
        </is>
      </c>
      <c r="B28" s="5" t="inlineStr">
        <is>
          <t>Caaguazú</t>
        </is>
      </c>
      <c r="C28" s="11" t="n">
        <v>2</v>
      </c>
      <c r="D28" s="29" t="n">
        <v>0.01754385964912281</v>
      </c>
      <c r="E28" s="5" t="n"/>
      <c r="F28" s="29" t="n"/>
      <c r="G28" s="5" t="n"/>
    </row>
    <row r="29">
      <c r="A29" s="9" t="inlineStr">
        <is>
          <t>2026-02</t>
        </is>
      </c>
      <c r="B29" s="5" t="inlineStr">
        <is>
          <t>Caazapá</t>
        </is>
      </c>
      <c r="C29" s="11" t="n">
        <v>1</v>
      </c>
      <c r="D29" s="29" t="n">
        <v>0.008771929824561403</v>
      </c>
      <c r="E29" s="5" t="n"/>
      <c r="F29" s="29" t="n"/>
      <c r="G29" s="5" t="n"/>
    </row>
    <row r="30">
      <c r="A30" s="9" t="inlineStr">
        <is>
          <t>2026-02</t>
        </is>
      </c>
      <c r="B30" s="5" t="inlineStr">
        <is>
          <t>Itapúa</t>
        </is>
      </c>
      <c r="C30" s="11" t="n">
        <v>0</v>
      </c>
      <c r="D30" s="29" t="n">
        <v>0</v>
      </c>
      <c r="E30" s="5" t="n"/>
      <c r="F30" s="29" t="n"/>
      <c r="G30" s="5" t="n"/>
    </row>
    <row r="31">
      <c r="A31" s="9" t="inlineStr">
        <is>
          <t>2026-02</t>
        </is>
      </c>
      <c r="B31" s="5" t="inlineStr">
        <is>
          <t>Misiones</t>
        </is>
      </c>
      <c r="C31" s="11" t="n">
        <v>0</v>
      </c>
      <c r="D31" s="29" t="n">
        <v>0</v>
      </c>
      <c r="E31" s="5" t="n"/>
      <c r="F31" s="29" t="n"/>
      <c r="G31" s="5" t="n"/>
    </row>
    <row r="32">
      <c r="A32" s="9" t="inlineStr">
        <is>
          <t>2026-02</t>
        </is>
      </c>
      <c r="B32" s="5" t="inlineStr">
        <is>
          <t>Paraguarí</t>
        </is>
      </c>
      <c r="C32" s="11" t="n">
        <v>0</v>
      </c>
      <c r="D32" s="29" t="n">
        <v>0</v>
      </c>
      <c r="E32" s="5" t="n"/>
      <c r="F32" s="29" t="n"/>
      <c r="G32" s="5" t="n"/>
    </row>
    <row r="33">
      <c r="A33" s="9" t="inlineStr">
        <is>
          <t>2026-02</t>
        </is>
      </c>
      <c r="B33" s="5" t="inlineStr">
        <is>
          <t>Alto Paraná</t>
        </is>
      </c>
      <c r="C33" s="11" t="n">
        <v>0</v>
      </c>
      <c r="D33" s="29" t="n">
        <v>0</v>
      </c>
      <c r="E33" s="5" t="n"/>
      <c r="F33" s="29" t="n"/>
      <c r="G33" s="5" t="n"/>
    </row>
    <row r="34">
      <c r="A34" s="9" t="inlineStr">
        <is>
          <t>2026-02</t>
        </is>
      </c>
      <c r="B34" s="5" t="inlineStr">
        <is>
          <t>Central</t>
        </is>
      </c>
      <c r="C34" s="11" t="n">
        <v>40</v>
      </c>
      <c r="D34" s="29" t="n">
        <v>0.3508771929824561</v>
      </c>
      <c r="E34" s="5" t="n"/>
      <c r="F34" s="29" t="n"/>
      <c r="G34" s="5" t="n"/>
    </row>
    <row r="35">
      <c r="A35" s="9" t="inlineStr">
        <is>
          <t>2026-02</t>
        </is>
      </c>
      <c r="B35" s="5" t="inlineStr">
        <is>
          <t>Ñeembucú</t>
        </is>
      </c>
      <c r="C35" s="11" t="n">
        <v>1</v>
      </c>
      <c r="D35" s="29" t="n">
        <v>0.008771929824561403</v>
      </c>
      <c r="E35" s="5" t="n"/>
      <c r="F35" s="29" t="n"/>
      <c r="G35" s="5" t="n"/>
    </row>
    <row r="36">
      <c r="A36" s="9" t="inlineStr">
        <is>
          <t>2026-02</t>
        </is>
      </c>
      <c r="B36" s="5" t="inlineStr">
        <is>
          <t>Amambay</t>
        </is>
      </c>
      <c r="C36" s="11" t="n">
        <v>0</v>
      </c>
      <c r="D36" s="29" t="n">
        <v>0</v>
      </c>
      <c r="E36" s="5" t="n"/>
      <c r="F36" s="29" t="n"/>
      <c r="G36" s="5" t="n"/>
    </row>
    <row r="37">
      <c r="A37" s="9" t="inlineStr">
        <is>
          <t>2026-02</t>
        </is>
      </c>
      <c r="B37" s="5" t="inlineStr">
        <is>
          <t>Canindeyú</t>
        </is>
      </c>
      <c r="C37" s="11" t="n">
        <v>0</v>
      </c>
      <c r="D37" s="29" t="n">
        <v>0</v>
      </c>
      <c r="E37" s="5" t="n"/>
      <c r="F37" s="29" t="n"/>
      <c r="G37" s="5" t="n"/>
    </row>
    <row r="38">
      <c r="A38" s="9" t="inlineStr">
        <is>
          <t>2026-02</t>
        </is>
      </c>
      <c r="B38" s="5" t="inlineStr">
        <is>
          <t>Presidente Hayes</t>
        </is>
      </c>
      <c r="C38" s="11" t="n">
        <v>0</v>
      </c>
      <c r="D38" s="29" t="n">
        <v>0</v>
      </c>
      <c r="E38" s="5" t="n"/>
      <c r="F38" s="29" t="n"/>
      <c r="G38" s="5" t="n"/>
    </row>
    <row r="39">
      <c r="A39" s="9" t="inlineStr">
        <is>
          <t>2026-02</t>
        </is>
      </c>
      <c r="B39" s="5" t="inlineStr">
        <is>
          <t>Boquerón</t>
        </is>
      </c>
      <c r="C39" s="11" t="n">
        <v>0</v>
      </c>
      <c r="D39" s="29" t="n">
        <v>0</v>
      </c>
      <c r="E39" s="5" t="n"/>
      <c r="F39" s="29" t="n"/>
      <c r="G39" s="5" t="n"/>
    </row>
    <row r="40">
      <c r="A40" s="9" t="inlineStr">
        <is>
          <t>2026-02</t>
        </is>
      </c>
      <c r="B40" s="5" t="inlineStr">
        <is>
          <t>Alto Paraguay</t>
        </is>
      </c>
      <c r="C40" s="11" t="n">
        <v>0</v>
      </c>
      <c r="D40" s="29" t="n">
        <v>0</v>
      </c>
      <c r="E40" s="5" t="n"/>
      <c r="F40" s="29" t="n"/>
      <c r="G40" s="5" t="n"/>
    </row>
    <row r="41">
      <c r="A41" s="9" t="inlineStr">
        <is>
          <t>2026-03</t>
        </is>
      </c>
      <c r="B41" s="5" t="inlineStr">
        <is>
          <t>Asunción</t>
        </is>
      </c>
      <c r="C41" s="5" t="n"/>
      <c r="D41" s="29" t="n"/>
      <c r="E41" s="5" t="n"/>
      <c r="F41" s="29" t="n"/>
      <c r="G41" s="5" t="n"/>
    </row>
    <row r="42">
      <c r="A42" s="9" t="inlineStr">
        <is>
          <t>2026-03</t>
        </is>
      </c>
      <c r="B42" s="5" t="inlineStr">
        <is>
          <t>Concepción</t>
        </is>
      </c>
      <c r="C42" s="5" t="n"/>
      <c r="D42" s="29" t="n"/>
      <c r="E42" s="5" t="n"/>
      <c r="F42" s="29" t="n"/>
      <c r="G42" s="5" t="n"/>
    </row>
    <row r="43">
      <c r="A43" s="9" t="inlineStr">
        <is>
          <t>2026-03</t>
        </is>
      </c>
      <c r="B43" s="5" t="inlineStr">
        <is>
          <t>San Pedro</t>
        </is>
      </c>
      <c r="C43" s="5" t="n"/>
      <c r="D43" s="29" t="n"/>
      <c r="E43" s="5" t="n"/>
      <c r="F43" s="29" t="n"/>
      <c r="G43" s="5" t="n"/>
    </row>
    <row r="44">
      <c r="A44" s="9" t="inlineStr">
        <is>
          <t>2026-03</t>
        </is>
      </c>
      <c r="B44" s="5" t="inlineStr">
        <is>
          <t>Cordillera</t>
        </is>
      </c>
      <c r="C44" s="5" t="n"/>
      <c r="D44" s="29" t="n"/>
      <c r="E44" s="5" t="n"/>
      <c r="F44" s="29" t="n"/>
      <c r="G44" s="5" t="n"/>
    </row>
    <row r="45">
      <c r="A45" s="9" t="inlineStr">
        <is>
          <t>2026-03</t>
        </is>
      </c>
      <c r="B45" s="5" t="inlineStr">
        <is>
          <t>Guairá</t>
        </is>
      </c>
      <c r="C45" s="5" t="n"/>
      <c r="D45" s="29" t="n"/>
      <c r="E45" s="5" t="n"/>
      <c r="F45" s="29" t="n"/>
      <c r="G45" s="5" t="n"/>
    </row>
    <row r="46">
      <c r="A46" s="9" t="inlineStr">
        <is>
          <t>2026-03</t>
        </is>
      </c>
      <c r="B46" s="5" t="inlineStr">
        <is>
          <t>Caaguazú</t>
        </is>
      </c>
      <c r="C46" s="5" t="n"/>
      <c r="D46" s="29" t="n"/>
      <c r="E46" s="5" t="n"/>
      <c r="F46" s="29" t="n"/>
      <c r="G46" s="5" t="n"/>
    </row>
    <row r="47">
      <c r="A47" s="9" t="inlineStr">
        <is>
          <t>2026-03</t>
        </is>
      </c>
      <c r="B47" s="5" t="inlineStr">
        <is>
          <t>Caazapá</t>
        </is>
      </c>
      <c r="C47" s="5" t="n"/>
      <c r="D47" s="29" t="n"/>
      <c r="E47" s="5" t="n"/>
      <c r="F47" s="29" t="n"/>
      <c r="G47" s="5" t="n"/>
    </row>
    <row r="48">
      <c r="A48" s="9" t="inlineStr">
        <is>
          <t>2026-03</t>
        </is>
      </c>
      <c r="B48" s="5" t="inlineStr">
        <is>
          <t>Itapúa</t>
        </is>
      </c>
      <c r="C48" s="5" t="n"/>
      <c r="D48" s="29" t="n"/>
      <c r="E48" s="5" t="n"/>
      <c r="F48" s="29" t="n"/>
      <c r="G48" s="5" t="n"/>
    </row>
    <row r="49">
      <c r="A49" s="9" t="inlineStr">
        <is>
          <t>2026-03</t>
        </is>
      </c>
      <c r="B49" s="5" t="inlineStr">
        <is>
          <t>Misiones</t>
        </is>
      </c>
      <c r="C49" s="5" t="n"/>
      <c r="D49" s="29" t="n"/>
      <c r="E49" s="5" t="n"/>
      <c r="F49" s="29" t="n"/>
      <c r="G49" s="5" t="n"/>
    </row>
    <row r="50">
      <c r="A50" s="9" t="inlineStr">
        <is>
          <t>2026-03</t>
        </is>
      </c>
      <c r="B50" s="5" t="inlineStr">
        <is>
          <t>Paraguarí</t>
        </is>
      </c>
      <c r="C50" s="5" t="n"/>
      <c r="D50" s="29" t="n"/>
      <c r="E50" s="5" t="n"/>
      <c r="F50" s="29" t="n"/>
      <c r="G50" s="5" t="n"/>
    </row>
    <row r="51">
      <c r="A51" s="9" t="inlineStr">
        <is>
          <t>2026-03</t>
        </is>
      </c>
      <c r="B51" s="5" t="inlineStr">
        <is>
          <t>Alto Paraná</t>
        </is>
      </c>
      <c r="C51" s="5" t="n"/>
      <c r="D51" s="29" t="n"/>
      <c r="E51" s="5" t="n"/>
      <c r="F51" s="29" t="n"/>
      <c r="G51" s="5" t="n"/>
    </row>
    <row r="52">
      <c r="A52" s="9" t="inlineStr">
        <is>
          <t>2026-03</t>
        </is>
      </c>
      <c r="B52" s="5" t="inlineStr">
        <is>
          <t>Central</t>
        </is>
      </c>
      <c r="C52" s="5" t="n"/>
      <c r="D52" s="29" t="n"/>
      <c r="E52" s="5" t="n"/>
      <c r="F52" s="29" t="n"/>
      <c r="G52" s="5" t="n"/>
    </row>
    <row r="53">
      <c r="A53" s="9" t="inlineStr">
        <is>
          <t>2026-03</t>
        </is>
      </c>
      <c r="B53" s="5" t="inlineStr">
        <is>
          <t>Ñeembucú</t>
        </is>
      </c>
      <c r="C53" s="5" t="n"/>
      <c r="D53" s="29" t="n"/>
      <c r="E53" s="5" t="n"/>
      <c r="F53" s="29" t="n"/>
      <c r="G53" s="5" t="n"/>
    </row>
    <row r="54">
      <c r="A54" s="9" t="inlineStr">
        <is>
          <t>2026-03</t>
        </is>
      </c>
      <c r="B54" s="5" t="inlineStr">
        <is>
          <t>Amambay</t>
        </is>
      </c>
      <c r="C54" s="5" t="n"/>
      <c r="D54" s="29" t="n"/>
      <c r="E54" s="5" t="n"/>
      <c r="F54" s="29" t="n"/>
      <c r="G54" s="5" t="n"/>
    </row>
    <row r="55">
      <c r="A55" s="9" t="inlineStr">
        <is>
          <t>2026-03</t>
        </is>
      </c>
      <c r="B55" s="5" t="inlineStr">
        <is>
          <t>Canindeyú</t>
        </is>
      </c>
      <c r="C55" s="5" t="n"/>
      <c r="D55" s="29" t="n"/>
      <c r="E55" s="5" t="n"/>
      <c r="F55" s="29" t="n"/>
      <c r="G55" s="5" t="n"/>
    </row>
    <row r="56">
      <c r="A56" s="9" t="inlineStr">
        <is>
          <t>2026-03</t>
        </is>
      </c>
      <c r="B56" s="5" t="inlineStr">
        <is>
          <t>Presidente Hayes</t>
        </is>
      </c>
      <c r="C56" s="5" t="n"/>
      <c r="D56" s="29" t="n"/>
      <c r="E56" s="5" t="n"/>
      <c r="F56" s="29" t="n"/>
      <c r="G56" s="5" t="n"/>
    </row>
    <row r="57">
      <c r="A57" s="9" t="inlineStr">
        <is>
          <t>2026-03</t>
        </is>
      </c>
      <c r="B57" s="5" t="inlineStr">
        <is>
          <t>Boquerón</t>
        </is>
      </c>
      <c r="C57" s="5" t="n"/>
      <c r="D57" s="29" t="n"/>
      <c r="E57" s="5" t="n"/>
      <c r="F57" s="29" t="n"/>
      <c r="G57" s="5" t="n"/>
    </row>
    <row r="58">
      <c r="A58" s="9" t="inlineStr">
        <is>
          <t>2026-03</t>
        </is>
      </c>
      <c r="B58" s="5" t="inlineStr">
        <is>
          <t>Alto Paraguay</t>
        </is>
      </c>
      <c r="C58" s="5" t="n"/>
      <c r="D58" s="29" t="n"/>
      <c r="E58" s="5" t="n"/>
      <c r="F58" s="29" t="n"/>
      <c r="G58" s="5" t="n"/>
    </row>
    <row r="59">
      <c r="A59" s="9" t="inlineStr">
        <is>
          <t>2026-04</t>
        </is>
      </c>
      <c r="B59" s="5" t="inlineStr">
        <is>
          <t>Asunción</t>
        </is>
      </c>
      <c r="C59" s="5" t="n"/>
      <c r="D59" s="29" t="n"/>
      <c r="E59" s="5" t="n"/>
      <c r="F59" s="29" t="n"/>
      <c r="G59" s="5" t="n"/>
    </row>
    <row r="60">
      <c r="A60" s="9" t="inlineStr">
        <is>
          <t>2026-04</t>
        </is>
      </c>
      <c r="B60" s="5" t="inlineStr">
        <is>
          <t>Concepción</t>
        </is>
      </c>
      <c r="C60" s="5" t="n"/>
      <c r="D60" s="29" t="n"/>
      <c r="E60" s="5" t="n"/>
      <c r="F60" s="29" t="n"/>
      <c r="G60" s="5" t="n"/>
    </row>
    <row r="61">
      <c r="A61" s="9" t="inlineStr">
        <is>
          <t>2026-04</t>
        </is>
      </c>
      <c r="B61" s="5" t="inlineStr">
        <is>
          <t>San Pedro</t>
        </is>
      </c>
      <c r="C61" s="5" t="n"/>
      <c r="D61" s="29" t="n"/>
      <c r="E61" s="5" t="n"/>
      <c r="F61" s="29" t="n"/>
      <c r="G61" s="5" t="n"/>
    </row>
    <row r="62">
      <c r="A62" s="9" t="inlineStr">
        <is>
          <t>2026-04</t>
        </is>
      </c>
      <c r="B62" s="5" t="inlineStr">
        <is>
          <t>Cordillera</t>
        </is>
      </c>
      <c r="C62" s="5" t="n"/>
      <c r="D62" s="29" t="n"/>
      <c r="E62" s="5" t="n"/>
      <c r="F62" s="29" t="n"/>
      <c r="G62" s="5" t="n"/>
    </row>
    <row r="63">
      <c r="A63" s="9" t="inlineStr">
        <is>
          <t>2026-04</t>
        </is>
      </c>
      <c r="B63" s="5" t="inlineStr">
        <is>
          <t>Guairá</t>
        </is>
      </c>
      <c r="C63" s="5" t="n"/>
      <c r="D63" s="29" t="n"/>
      <c r="E63" s="5" t="n"/>
      <c r="F63" s="29" t="n"/>
      <c r="G63" s="5" t="n"/>
    </row>
    <row r="64">
      <c r="A64" s="9" t="inlineStr">
        <is>
          <t>2026-04</t>
        </is>
      </c>
      <c r="B64" s="5" t="inlineStr">
        <is>
          <t>Caaguazú</t>
        </is>
      </c>
      <c r="C64" s="5" t="n"/>
      <c r="D64" s="29" t="n"/>
      <c r="E64" s="5" t="n"/>
      <c r="F64" s="29" t="n"/>
      <c r="G64" s="5" t="n"/>
    </row>
    <row r="65">
      <c r="A65" s="9" t="inlineStr">
        <is>
          <t>2026-04</t>
        </is>
      </c>
      <c r="B65" s="5" t="inlineStr">
        <is>
          <t>Caazapá</t>
        </is>
      </c>
      <c r="C65" s="5" t="n"/>
      <c r="D65" s="29" t="n"/>
      <c r="E65" s="5" t="n"/>
      <c r="F65" s="29" t="n"/>
      <c r="G65" s="5" t="n"/>
    </row>
    <row r="66">
      <c r="A66" s="9" t="inlineStr">
        <is>
          <t>2026-04</t>
        </is>
      </c>
      <c r="B66" s="5" t="inlineStr">
        <is>
          <t>Itapúa</t>
        </is>
      </c>
      <c r="C66" s="5" t="n"/>
      <c r="D66" s="29" t="n"/>
      <c r="E66" s="5" t="n"/>
      <c r="F66" s="29" t="n"/>
      <c r="G66" s="5" t="n"/>
    </row>
    <row r="67">
      <c r="A67" s="9" t="inlineStr">
        <is>
          <t>2026-04</t>
        </is>
      </c>
      <c r="B67" s="5" t="inlineStr">
        <is>
          <t>Misiones</t>
        </is>
      </c>
      <c r="C67" s="5" t="n"/>
      <c r="D67" s="29" t="n"/>
      <c r="E67" s="5" t="n"/>
      <c r="F67" s="29" t="n"/>
      <c r="G67" s="5" t="n"/>
    </row>
    <row r="68">
      <c r="A68" s="9" t="inlineStr">
        <is>
          <t>2026-04</t>
        </is>
      </c>
      <c r="B68" s="5" t="inlineStr">
        <is>
          <t>Paraguarí</t>
        </is>
      </c>
      <c r="C68" s="5" t="n"/>
      <c r="D68" s="29" t="n"/>
      <c r="E68" s="5" t="n"/>
      <c r="F68" s="29" t="n"/>
      <c r="G68" s="5" t="n"/>
    </row>
    <row r="69">
      <c r="A69" s="9" t="inlineStr">
        <is>
          <t>2026-04</t>
        </is>
      </c>
      <c r="B69" s="5" t="inlineStr">
        <is>
          <t>Alto Paraná</t>
        </is>
      </c>
      <c r="C69" s="5" t="n"/>
      <c r="D69" s="29" t="n"/>
      <c r="E69" s="5" t="n"/>
      <c r="F69" s="29" t="n"/>
      <c r="G69" s="5" t="n"/>
    </row>
    <row r="70">
      <c r="A70" s="9" t="inlineStr">
        <is>
          <t>2026-04</t>
        </is>
      </c>
      <c r="B70" s="5" t="inlineStr">
        <is>
          <t>Central</t>
        </is>
      </c>
      <c r="C70" s="5" t="n"/>
      <c r="D70" s="29" t="n"/>
      <c r="E70" s="5" t="n"/>
      <c r="F70" s="29" t="n"/>
      <c r="G70" s="5" t="n"/>
    </row>
    <row r="71">
      <c r="A71" s="9" t="inlineStr">
        <is>
          <t>2026-04</t>
        </is>
      </c>
      <c r="B71" s="5" t="inlineStr">
        <is>
          <t>Ñeembucú</t>
        </is>
      </c>
      <c r="C71" s="5" t="n"/>
      <c r="D71" s="29" t="n"/>
      <c r="E71" s="5" t="n"/>
      <c r="F71" s="29" t="n"/>
      <c r="G71" s="5" t="n"/>
    </row>
    <row r="72">
      <c r="A72" s="9" t="inlineStr">
        <is>
          <t>2026-04</t>
        </is>
      </c>
      <c r="B72" s="5" t="inlineStr">
        <is>
          <t>Amambay</t>
        </is>
      </c>
      <c r="C72" s="5" t="n"/>
      <c r="D72" s="29" t="n"/>
      <c r="E72" s="5" t="n"/>
      <c r="F72" s="29" t="n"/>
      <c r="G72" s="5" t="n"/>
    </row>
    <row r="73">
      <c r="A73" s="9" t="inlineStr">
        <is>
          <t>2026-04</t>
        </is>
      </c>
      <c r="B73" s="5" t="inlineStr">
        <is>
          <t>Canindeyú</t>
        </is>
      </c>
      <c r="C73" s="5" t="n"/>
      <c r="D73" s="29" t="n"/>
      <c r="E73" s="5" t="n"/>
      <c r="F73" s="29" t="n"/>
      <c r="G73" s="5" t="n"/>
    </row>
    <row r="74">
      <c r="A74" s="9" t="inlineStr">
        <is>
          <t>2026-04</t>
        </is>
      </c>
      <c r="B74" s="5" t="inlineStr">
        <is>
          <t>Presidente Hayes</t>
        </is>
      </c>
      <c r="C74" s="5" t="n"/>
      <c r="D74" s="29" t="n"/>
      <c r="E74" s="5" t="n"/>
      <c r="F74" s="29" t="n"/>
      <c r="G74" s="5" t="n"/>
    </row>
    <row r="75">
      <c r="A75" s="9" t="inlineStr">
        <is>
          <t>2026-04</t>
        </is>
      </c>
      <c r="B75" s="5" t="inlineStr">
        <is>
          <t>Boquerón</t>
        </is>
      </c>
      <c r="C75" s="5" t="n"/>
      <c r="D75" s="29" t="n"/>
      <c r="E75" s="5" t="n"/>
      <c r="F75" s="29" t="n"/>
      <c r="G75" s="5" t="n"/>
    </row>
    <row r="76">
      <c r="A76" s="9" t="inlineStr">
        <is>
          <t>2026-04</t>
        </is>
      </c>
      <c r="B76" s="5" t="inlineStr">
        <is>
          <t>Alto Paraguay</t>
        </is>
      </c>
      <c r="C76" s="5" t="n"/>
      <c r="D76" s="29" t="n"/>
      <c r="E76" s="5" t="n"/>
      <c r="F76" s="29" t="n"/>
      <c r="G76" s="5" t="n"/>
    </row>
    <row r="77">
      <c r="A77" s="9" t="inlineStr">
        <is>
          <t>2026-05</t>
        </is>
      </c>
      <c r="B77" s="5" t="inlineStr">
        <is>
          <t>Asunción</t>
        </is>
      </c>
      <c r="C77" s="5" t="n"/>
      <c r="D77" s="29" t="n"/>
      <c r="E77" s="5" t="n"/>
      <c r="F77" s="29" t="n"/>
      <c r="G77" s="5" t="n"/>
    </row>
    <row r="78">
      <c r="A78" s="9" t="inlineStr">
        <is>
          <t>2026-05</t>
        </is>
      </c>
      <c r="B78" s="5" t="inlineStr">
        <is>
          <t>Concepción</t>
        </is>
      </c>
      <c r="C78" s="5" t="n"/>
      <c r="D78" s="29" t="n"/>
      <c r="E78" s="5" t="n"/>
      <c r="F78" s="29" t="n"/>
      <c r="G78" s="5" t="n"/>
    </row>
    <row r="79">
      <c r="A79" s="9" t="inlineStr">
        <is>
          <t>2026-05</t>
        </is>
      </c>
      <c r="B79" s="5" t="inlineStr">
        <is>
          <t>San Pedro</t>
        </is>
      </c>
      <c r="C79" s="5" t="n"/>
      <c r="D79" s="29" t="n"/>
      <c r="E79" s="5" t="n"/>
      <c r="F79" s="29" t="n"/>
      <c r="G79" s="5" t="n"/>
    </row>
    <row r="80">
      <c r="A80" s="9" t="inlineStr">
        <is>
          <t>2026-05</t>
        </is>
      </c>
      <c r="B80" s="5" t="inlineStr">
        <is>
          <t>Cordillera</t>
        </is>
      </c>
      <c r="C80" s="5" t="n"/>
      <c r="D80" s="29" t="n"/>
      <c r="E80" s="5" t="n"/>
      <c r="F80" s="29" t="n"/>
      <c r="G80" s="5" t="n"/>
    </row>
    <row r="81">
      <c r="A81" s="9" t="inlineStr">
        <is>
          <t>2026-05</t>
        </is>
      </c>
      <c r="B81" s="5" t="inlineStr">
        <is>
          <t>Guairá</t>
        </is>
      </c>
      <c r="C81" s="5" t="n"/>
      <c r="D81" s="29" t="n"/>
      <c r="E81" s="5" t="n"/>
      <c r="F81" s="29" t="n"/>
      <c r="G81" s="5" t="n"/>
    </row>
    <row r="82">
      <c r="A82" s="9" t="inlineStr">
        <is>
          <t>2026-05</t>
        </is>
      </c>
      <c r="B82" s="5" t="inlineStr">
        <is>
          <t>Caaguazú</t>
        </is>
      </c>
      <c r="C82" s="5" t="n"/>
      <c r="D82" s="29" t="n"/>
      <c r="E82" s="5" t="n"/>
      <c r="F82" s="29" t="n"/>
      <c r="G82" s="5" t="n"/>
    </row>
    <row r="83">
      <c r="A83" s="9" t="inlineStr">
        <is>
          <t>2026-05</t>
        </is>
      </c>
      <c r="B83" s="5" t="inlineStr">
        <is>
          <t>Caazapá</t>
        </is>
      </c>
      <c r="C83" s="5" t="n"/>
      <c r="D83" s="29" t="n"/>
      <c r="E83" s="5" t="n"/>
      <c r="F83" s="29" t="n"/>
      <c r="G83" s="5" t="n"/>
    </row>
    <row r="84">
      <c r="A84" s="9" t="inlineStr">
        <is>
          <t>2026-05</t>
        </is>
      </c>
      <c r="B84" s="5" t="inlineStr">
        <is>
          <t>Itapúa</t>
        </is>
      </c>
      <c r="C84" s="5" t="n"/>
      <c r="D84" s="29" t="n"/>
      <c r="E84" s="5" t="n"/>
      <c r="F84" s="29" t="n"/>
      <c r="G84" s="5" t="n"/>
    </row>
    <row r="85">
      <c r="A85" s="9" t="inlineStr">
        <is>
          <t>2026-05</t>
        </is>
      </c>
      <c r="B85" s="5" t="inlineStr">
        <is>
          <t>Misiones</t>
        </is>
      </c>
      <c r="C85" s="5" t="n"/>
      <c r="D85" s="29" t="n"/>
      <c r="E85" s="5" t="n"/>
      <c r="F85" s="29" t="n"/>
      <c r="G85" s="5" t="n"/>
    </row>
    <row r="86">
      <c r="A86" s="9" t="inlineStr">
        <is>
          <t>2026-05</t>
        </is>
      </c>
      <c r="B86" s="5" t="inlineStr">
        <is>
          <t>Paraguarí</t>
        </is>
      </c>
      <c r="C86" s="5" t="n"/>
      <c r="D86" s="29" t="n"/>
      <c r="E86" s="5" t="n"/>
      <c r="F86" s="29" t="n"/>
      <c r="G86" s="5" t="n"/>
    </row>
    <row r="87">
      <c r="A87" s="9" t="inlineStr">
        <is>
          <t>2026-05</t>
        </is>
      </c>
      <c r="B87" s="5" t="inlineStr">
        <is>
          <t>Alto Paraná</t>
        </is>
      </c>
      <c r="C87" s="5" t="n"/>
      <c r="D87" s="29" t="n"/>
      <c r="E87" s="5" t="n"/>
      <c r="F87" s="29" t="n"/>
      <c r="G87" s="5" t="n"/>
    </row>
    <row r="88">
      <c r="A88" s="9" t="inlineStr">
        <is>
          <t>2026-05</t>
        </is>
      </c>
      <c r="B88" s="5" t="inlineStr">
        <is>
          <t>Central</t>
        </is>
      </c>
      <c r="C88" s="5" t="n"/>
      <c r="D88" s="29" t="n"/>
      <c r="E88" s="5" t="n"/>
      <c r="F88" s="29" t="n"/>
      <c r="G88" s="5" t="n"/>
    </row>
    <row r="89">
      <c r="A89" s="9" t="inlineStr">
        <is>
          <t>2026-05</t>
        </is>
      </c>
      <c r="B89" s="5" t="inlineStr">
        <is>
          <t>Ñeembucú</t>
        </is>
      </c>
      <c r="C89" s="5" t="n"/>
      <c r="D89" s="29" t="n"/>
      <c r="E89" s="5" t="n"/>
      <c r="F89" s="29" t="n"/>
      <c r="G89" s="5" t="n"/>
    </row>
    <row r="90">
      <c r="A90" s="9" t="inlineStr">
        <is>
          <t>2026-05</t>
        </is>
      </c>
      <c r="B90" s="5" t="inlineStr">
        <is>
          <t>Amambay</t>
        </is>
      </c>
      <c r="C90" s="5" t="n"/>
      <c r="D90" s="29" t="n"/>
      <c r="E90" s="5" t="n"/>
      <c r="F90" s="29" t="n"/>
      <c r="G90" s="5" t="n"/>
    </row>
    <row r="91">
      <c r="A91" s="9" t="inlineStr">
        <is>
          <t>2026-05</t>
        </is>
      </c>
      <c r="B91" s="5" t="inlineStr">
        <is>
          <t>Canindeyú</t>
        </is>
      </c>
      <c r="C91" s="5" t="n"/>
      <c r="D91" s="29" t="n"/>
      <c r="E91" s="5" t="n"/>
      <c r="F91" s="29" t="n"/>
      <c r="G91" s="5" t="n"/>
    </row>
    <row r="92">
      <c r="A92" s="9" t="inlineStr">
        <is>
          <t>2026-05</t>
        </is>
      </c>
      <c r="B92" s="5" t="inlineStr">
        <is>
          <t>Presidente Hayes</t>
        </is>
      </c>
      <c r="C92" s="5" t="n"/>
      <c r="D92" s="29" t="n"/>
      <c r="E92" s="5" t="n"/>
      <c r="F92" s="29" t="n"/>
      <c r="G92" s="5" t="n"/>
    </row>
    <row r="93">
      <c r="A93" s="9" t="inlineStr">
        <is>
          <t>2026-05</t>
        </is>
      </c>
      <c r="B93" s="5" t="inlineStr">
        <is>
          <t>Boquerón</t>
        </is>
      </c>
      <c r="C93" s="5" t="n"/>
      <c r="D93" s="29" t="n"/>
      <c r="E93" s="5" t="n"/>
      <c r="F93" s="29" t="n"/>
      <c r="G93" s="5" t="n"/>
    </row>
    <row r="94">
      <c r="A94" s="9" t="inlineStr">
        <is>
          <t>2026-05</t>
        </is>
      </c>
      <c r="B94" s="5" t="inlineStr">
        <is>
          <t>Alto Paraguay</t>
        </is>
      </c>
      <c r="C94" s="5" t="n"/>
      <c r="D94" s="29" t="n"/>
      <c r="E94" s="5" t="n"/>
      <c r="F94" s="29" t="n"/>
      <c r="G94" s="5" t="n"/>
    </row>
    <row r="95">
      <c r="A95" s="9" t="inlineStr">
        <is>
          <t>2026-06</t>
        </is>
      </c>
      <c r="B95" s="5" t="inlineStr">
        <is>
          <t>Asunción</t>
        </is>
      </c>
      <c r="C95" s="5" t="n"/>
      <c r="D95" s="29" t="n"/>
      <c r="E95" s="5" t="n"/>
      <c r="F95" s="29" t="n"/>
      <c r="G95" s="5" t="n"/>
    </row>
    <row r="96">
      <c r="A96" s="9" t="inlineStr">
        <is>
          <t>2026-06</t>
        </is>
      </c>
      <c r="B96" s="5" t="inlineStr">
        <is>
          <t>Concepción</t>
        </is>
      </c>
      <c r="C96" s="5" t="n"/>
      <c r="D96" s="29" t="n"/>
      <c r="E96" s="5" t="n"/>
      <c r="F96" s="29" t="n"/>
      <c r="G96" s="5" t="n"/>
    </row>
    <row r="97">
      <c r="A97" s="9" t="inlineStr">
        <is>
          <t>2026-06</t>
        </is>
      </c>
      <c r="B97" s="5" t="inlineStr">
        <is>
          <t>San Pedro</t>
        </is>
      </c>
      <c r="C97" s="5" t="n"/>
      <c r="D97" s="29" t="n"/>
      <c r="E97" s="5" t="n"/>
      <c r="F97" s="29" t="n"/>
      <c r="G97" s="5" t="n"/>
    </row>
    <row r="98">
      <c r="A98" s="9" t="inlineStr">
        <is>
          <t>2026-06</t>
        </is>
      </c>
      <c r="B98" s="5" t="inlineStr">
        <is>
          <t>Cordillera</t>
        </is>
      </c>
      <c r="C98" s="5" t="n"/>
      <c r="D98" s="29" t="n"/>
      <c r="E98" s="5" t="n"/>
      <c r="F98" s="29" t="n"/>
      <c r="G98" s="5" t="n"/>
    </row>
    <row r="99">
      <c r="A99" s="9" t="inlineStr">
        <is>
          <t>2026-06</t>
        </is>
      </c>
      <c r="B99" s="5" t="inlineStr">
        <is>
          <t>Guairá</t>
        </is>
      </c>
      <c r="C99" s="5" t="n"/>
      <c r="D99" s="29" t="n"/>
      <c r="E99" s="5" t="n"/>
      <c r="F99" s="29" t="n"/>
      <c r="G99" s="5" t="n"/>
    </row>
    <row r="100">
      <c r="A100" s="9" t="inlineStr">
        <is>
          <t>2026-06</t>
        </is>
      </c>
      <c r="B100" s="5" t="inlineStr">
        <is>
          <t>Caaguazú</t>
        </is>
      </c>
      <c r="C100" s="5" t="n"/>
      <c r="D100" s="29" t="n"/>
      <c r="E100" s="5" t="n"/>
      <c r="F100" s="29" t="n"/>
      <c r="G100" s="5" t="n"/>
    </row>
    <row r="101">
      <c r="A101" s="9" t="inlineStr">
        <is>
          <t>2026-06</t>
        </is>
      </c>
      <c r="B101" s="5" t="inlineStr">
        <is>
          <t>Caazapá</t>
        </is>
      </c>
      <c r="C101" s="5" t="n"/>
      <c r="D101" s="29" t="n"/>
      <c r="E101" s="5" t="n"/>
      <c r="F101" s="29" t="n"/>
      <c r="G101" s="5" t="n"/>
    </row>
    <row r="102">
      <c r="A102" s="9" t="inlineStr">
        <is>
          <t>2026-06</t>
        </is>
      </c>
      <c r="B102" s="5" t="inlineStr">
        <is>
          <t>Itapúa</t>
        </is>
      </c>
      <c r="C102" s="5" t="n"/>
      <c r="D102" s="29" t="n"/>
      <c r="E102" s="5" t="n"/>
      <c r="F102" s="29" t="n"/>
      <c r="G102" s="5" t="n"/>
    </row>
    <row r="103">
      <c r="A103" s="9" t="inlineStr">
        <is>
          <t>2026-06</t>
        </is>
      </c>
      <c r="B103" s="5" t="inlineStr">
        <is>
          <t>Misiones</t>
        </is>
      </c>
      <c r="C103" s="5" t="n"/>
      <c r="D103" s="29" t="n"/>
      <c r="E103" s="5" t="n"/>
      <c r="F103" s="29" t="n"/>
      <c r="G103" s="5" t="n"/>
    </row>
    <row r="104">
      <c r="A104" s="9" t="inlineStr">
        <is>
          <t>2026-06</t>
        </is>
      </c>
      <c r="B104" s="5" t="inlineStr">
        <is>
          <t>Paraguarí</t>
        </is>
      </c>
      <c r="C104" s="5" t="n"/>
      <c r="D104" s="29" t="n"/>
      <c r="E104" s="5" t="n"/>
      <c r="F104" s="29" t="n"/>
      <c r="G104" s="5" t="n"/>
    </row>
    <row r="105">
      <c r="A105" s="9" t="inlineStr">
        <is>
          <t>2026-06</t>
        </is>
      </c>
      <c r="B105" s="5" t="inlineStr">
        <is>
          <t>Alto Paraná</t>
        </is>
      </c>
      <c r="C105" s="5" t="n"/>
      <c r="D105" s="29" t="n"/>
      <c r="E105" s="5" t="n"/>
      <c r="F105" s="29" t="n"/>
      <c r="G105" s="5" t="n"/>
    </row>
    <row r="106">
      <c r="A106" s="9" t="inlineStr">
        <is>
          <t>2026-06</t>
        </is>
      </c>
      <c r="B106" s="5" t="inlineStr">
        <is>
          <t>Central</t>
        </is>
      </c>
      <c r="C106" s="5" t="n"/>
      <c r="D106" s="29" t="n"/>
      <c r="E106" s="5" t="n"/>
      <c r="F106" s="29" t="n"/>
      <c r="G106" s="5" t="n"/>
    </row>
    <row r="107">
      <c r="A107" s="9" t="inlineStr">
        <is>
          <t>2026-06</t>
        </is>
      </c>
      <c r="B107" s="5" t="inlineStr">
        <is>
          <t>Ñeembucú</t>
        </is>
      </c>
      <c r="C107" s="5" t="n"/>
      <c r="D107" s="29" t="n"/>
      <c r="E107" s="5" t="n"/>
      <c r="F107" s="29" t="n"/>
      <c r="G107" s="5" t="n"/>
    </row>
    <row r="108">
      <c r="A108" s="9" t="inlineStr">
        <is>
          <t>2026-06</t>
        </is>
      </c>
      <c r="B108" s="5" t="inlineStr">
        <is>
          <t>Amambay</t>
        </is>
      </c>
      <c r="C108" s="5" t="n"/>
      <c r="D108" s="29" t="n"/>
      <c r="E108" s="5" t="n"/>
      <c r="F108" s="29" t="n"/>
      <c r="G108" s="5" t="n"/>
    </row>
    <row r="109">
      <c r="A109" s="9" t="inlineStr">
        <is>
          <t>2026-06</t>
        </is>
      </c>
      <c r="B109" s="5" t="inlineStr">
        <is>
          <t>Canindeyú</t>
        </is>
      </c>
      <c r="C109" s="5" t="n"/>
      <c r="D109" s="29" t="n"/>
      <c r="E109" s="5" t="n"/>
      <c r="F109" s="29" t="n"/>
      <c r="G109" s="5" t="n"/>
    </row>
    <row r="110">
      <c r="A110" s="9" t="inlineStr">
        <is>
          <t>2026-06</t>
        </is>
      </c>
      <c r="B110" s="5" t="inlineStr">
        <is>
          <t>Presidente Hayes</t>
        </is>
      </c>
      <c r="C110" s="5" t="n"/>
      <c r="D110" s="29" t="n"/>
      <c r="E110" s="5" t="n"/>
      <c r="F110" s="29" t="n"/>
      <c r="G110" s="5" t="n"/>
    </row>
    <row r="111">
      <c r="A111" s="9" t="inlineStr">
        <is>
          <t>2026-06</t>
        </is>
      </c>
      <c r="B111" s="5" t="inlineStr">
        <is>
          <t>Boquerón</t>
        </is>
      </c>
      <c r="C111" s="5" t="n"/>
      <c r="D111" s="29" t="n"/>
      <c r="E111" s="5" t="n"/>
      <c r="F111" s="29" t="n"/>
      <c r="G111" s="5" t="n"/>
    </row>
    <row r="112">
      <c r="A112" s="9" t="inlineStr">
        <is>
          <t>2026-06</t>
        </is>
      </c>
      <c r="B112" s="5" t="inlineStr">
        <is>
          <t>Alto Paraguay</t>
        </is>
      </c>
      <c r="C112" s="5" t="n"/>
      <c r="D112" s="29" t="n"/>
      <c r="E112" s="5" t="n"/>
      <c r="F112" s="29" t="n"/>
      <c r="G112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  <col width="16" customWidth="1" min="8" max="8"/>
    <col width="18" customWidth="1" min="9" max="9"/>
    <col width="18" customWidth="1" min="10" max="10"/>
    <col width="26" customWidth="1" min="11" max="11"/>
  </cols>
  <sheetData>
    <row r="1" ht="26" customHeight="1">
      <c r="A1" s="1" t="inlineStr">
        <is>
          <t>DET_SSL</t>
        </is>
      </c>
    </row>
    <row r="4">
      <c r="A4" s="8" t="inlineStr">
        <is>
          <t>period_key</t>
        </is>
      </c>
      <c r="B4" s="8" t="inlineStr">
        <is>
          <t>area_code</t>
        </is>
      </c>
      <c r="C4" s="8" t="inlineStr">
        <is>
          <t>hours_month</t>
        </is>
      </c>
      <c r="D4" s="8" t="inlineStr">
        <is>
          <t>hours_ytd</t>
        </is>
      </c>
      <c r="E4" s="8" t="inlineStr">
        <is>
          <t>hours_total</t>
        </is>
      </c>
      <c r="F4" s="8" t="inlineStr">
        <is>
          <t>safe_hours_from_date</t>
        </is>
      </c>
      <c r="G4" s="8" t="inlineStr">
        <is>
          <t>safe_hours</t>
        </is>
      </c>
      <c r="H4" s="8" t="inlineStr">
        <is>
          <t>accidents_lost_time</t>
        </is>
      </c>
      <c r="I4" s="8" t="inlineStr">
        <is>
          <t>accidents_no_lost_time</t>
        </is>
      </c>
      <c r="J4" s="8" t="inlineStr">
        <is>
          <t>accident_rate_per_million</t>
        </is>
      </c>
      <c r="K4" s="8" t="inlineStr">
        <is>
          <t>observation</t>
        </is>
      </c>
    </row>
    <row r="5">
      <c r="A5" s="9" t="inlineStr">
        <is>
          <t>2025-01</t>
        </is>
      </c>
      <c r="B5" s="5" t="inlineStr">
        <is>
          <t>ssl_industrial</t>
        </is>
      </c>
      <c r="C5" s="11" t="n">
        <v>68246</v>
      </c>
      <c r="D5" s="11" t="n">
        <v>68246</v>
      </c>
      <c r="E5" s="5" t="n"/>
      <c r="F5" s="27" t="n">
        <v>44348</v>
      </c>
      <c r="G5" s="11" t="n">
        <v>2810846</v>
      </c>
      <c r="H5" s="11" t="n">
        <v>0</v>
      </c>
      <c r="I5" s="11" t="n">
        <v>0</v>
      </c>
      <c r="J5" s="11" t="n">
        <v>0</v>
      </c>
      <c r="K5" s="5" t="n"/>
    </row>
    <row r="6">
      <c r="A6" s="9" t="inlineStr">
        <is>
          <t>2025-02</t>
        </is>
      </c>
      <c r="B6" s="5" t="inlineStr">
        <is>
          <t>ssl_industrial</t>
        </is>
      </c>
      <c r="C6" s="11" t="n">
        <v>65798</v>
      </c>
      <c r="D6" s="11" t="n">
        <v>134044</v>
      </c>
      <c r="E6" s="5" t="n"/>
      <c r="F6" s="27" t="n">
        <v>44348</v>
      </c>
      <c r="G6" s="11" t="n">
        <v>2874619</v>
      </c>
      <c r="H6" s="11" t="n">
        <v>0</v>
      </c>
      <c r="I6" s="11" t="n">
        <v>0</v>
      </c>
      <c r="J6" s="11" t="n">
        <v>0</v>
      </c>
      <c r="K6" s="5" t="n"/>
    </row>
    <row r="7">
      <c r="A7" s="9" t="inlineStr">
        <is>
          <t>2025-03</t>
        </is>
      </c>
      <c r="B7" s="5" t="inlineStr">
        <is>
          <t>ssl_industrial</t>
        </is>
      </c>
      <c r="C7" s="11" t="n">
        <v>60134</v>
      </c>
      <c r="D7" s="11" t="n">
        <v>194178</v>
      </c>
      <c r="E7" s="5" t="n"/>
      <c r="F7" s="27" t="n">
        <v>44348</v>
      </c>
      <c r="G7" s="11" t="n">
        <v>2934753</v>
      </c>
      <c r="H7" s="11" t="n">
        <v>0</v>
      </c>
      <c r="I7" s="11" t="n">
        <v>0</v>
      </c>
      <c r="J7" s="11" t="n">
        <v>0</v>
      </c>
      <c r="K7" s="5" t="n"/>
    </row>
    <row r="8">
      <c r="A8" s="9" t="inlineStr">
        <is>
          <t>2025-04</t>
        </is>
      </c>
      <c r="B8" s="5" t="inlineStr">
        <is>
          <t>ssl_industrial</t>
        </is>
      </c>
      <c r="C8" s="11" t="n">
        <v>36120</v>
      </c>
      <c r="D8" s="11" t="n">
        <v>230298</v>
      </c>
      <c r="E8" s="5" t="n"/>
      <c r="F8" s="27" t="n">
        <v>44348</v>
      </c>
      <c r="G8" s="11" t="n">
        <v>2970873</v>
      </c>
      <c r="H8" s="11" t="n">
        <v>0</v>
      </c>
      <c r="I8" s="11" t="n">
        <v>0</v>
      </c>
      <c r="J8" s="11" t="n">
        <v>0</v>
      </c>
      <c r="K8" s="5" t="n"/>
    </row>
    <row r="9">
      <c r="A9" s="9" t="inlineStr">
        <is>
          <t>2025-05</t>
        </is>
      </c>
      <c r="B9" s="5" t="inlineStr">
        <is>
          <t>ssl_industrial</t>
        </is>
      </c>
      <c r="C9" s="11" t="n">
        <v>10688</v>
      </c>
      <c r="D9" s="11" t="n">
        <v>240986</v>
      </c>
      <c r="E9" s="5" t="n"/>
      <c r="F9" s="27" t="n">
        <v>44348</v>
      </c>
      <c r="G9" s="11" t="n">
        <v>2981561</v>
      </c>
      <c r="H9" s="11" t="n">
        <v>0</v>
      </c>
      <c r="I9" s="11" t="n">
        <v>0</v>
      </c>
      <c r="J9" s="11" t="n">
        <v>0</v>
      </c>
      <c r="K9" s="5" t="n"/>
    </row>
    <row r="10">
      <c r="A10" s="9" t="inlineStr">
        <is>
          <t>2025-06</t>
        </is>
      </c>
      <c r="B10" s="5" t="inlineStr">
        <is>
          <t>ssl_industrial</t>
        </is>
      </c>
      <c r="C10" s="11" t="n">
        <v>10120</v>
      </c>
      <c r="D10" s="11" t="n">
        <v>251106</v>
      </c>
      <c r="E10" s="5" t="n"/>
      <c r="F10" s="27" t="n">
        <v>44348</v>
      </c>
      <c r="G10" s="11" t="n">
        <v>2991681</v>
      </c>
      <c r="H10" s="11" t="n">
        <v>0</v>
      </c>
      <c r="I10" s="11" t="n">
        <v>0</v>
      </c>
      <c r="J10" s="11" t="n">
        <v>0</v>
      </c>
      <c r="K10" s="5" t="n"/>
    </row>
    <row r="11">
      <c r="A11" s="9" t="inlineStr">
        <is>
          <t>2025-07</t>
        </is>
      </c>
      <c r="B11" s="5" t="inlineStr">
        <is>
          <t>ssl_industrial</t>
        </is>
      </c>
      <c r="C11" s="11" t="n">
        <v>20469</v>
      </c>
      <c r="D11" s="11" t="n">
        <v>271575</v>
      </c>
      <c r="E11" s="5" t="n"/>
      <c r="F11" s="27" t="n">
        <v>44348</v>
      </c>
      <c r="G11" s="11" t="n">
        <v>2975307</v>
      </c>
      <c r="H11" s="11" t="n">
        <v>0</v>
      </c>
      <c r="I11" s="11" t="n">
        <v>1</v>
      </c>
      <c r="J11" s="11" t="n">
        <v>0</v>
      </c>
      <c r="K11" s="5" t="n"/>
    </row>
    <row r="12">
      <c r="A12" s="9" t="inlineStr">
        <is>
          <t>2025-08</t>
        </is>
      </c>
      <c r="B12" s="5" t="inlineStr">
        <is>
          <t>ssl_industrial</t>
        </is>
      </c>
      <c r="C12" s="11" t="n">
        <v>16550</v>
      </c>
      <c r="D12" s="11" t="n">
        <v>288125</v>
      </c>
      <c r="E12" s="5" t="n"/>
      <c r="F12" s="27" t="n">
        <v>44348</v>
      </c>
      <c r="G12" s="11" t="n">
        <v>2991856</v>
      </c>
      <c r="H12" s="11" t="n">
        <v>0</v>
      </c>
      <c r="I12" s="11" t="n">
        <v>1</v>
      </c>
      <c r="J12" s="11" t="n">
        <v>0</v>
      </c>
      <c r="K12" s="5" t="n"/>
    </row>
    <row r="13">
      <c r="A13" s="9" t="inlineStr">
        <is>
          <t>2025-09</t>
        </is>
      </c>
      <c r="B13" s="5" t="inlineStr">
        <is>
          <t>ssl_industrial</t>
        </is>
      </c>
      <c r="C13" s="11" t="n">
        <v>15474</v>
      </c>
      <c r="D13" s="11" t="n">
        <v>303599</v>
      </c>
      <c r="E13" s="5" t="n"/>
      <c r="F13" s="27" t="n">
        <v>44348</v>
      </c>
      <c r="G13" s="11" t="n">
        <v>3007330</v>
      </c>
      <c r="H13" s="11" t="n">
        <v>0</v>
      </c>
      <c r="I13" s="11" t="n">
        <v>1</v>
      </c>
      <c r="J13" s="11" t="n">
        <v>0</v>
      </c>
      <c r="K13" s="5" t="n"/>
    </row>
    <row r="14">
      <c r="A14" s="9" t="inlineStr">
        <is>
          <t>2025-10</t>
        </is>
      </c>
      <c r="B14" s="5" t="inlineStr">
        <is>
          <t>ssl_industrial</t>
        </is>
      </c>
      <c r="C14" s="11" t="n">
        <v>18691</v>
      </c>
      <c r="D14" s="11" t="n">
        <v>322290</v>
      </c>
      <c r="E14" s="5" t="n"/>
      <c r="F14" s="27" t="n">
        <v>44348</v>
      </c>
      <c r="G14" s="11" t="n">
        <v>3026021</v>
      </c>
      <c r="H14" s="11" t="n">
        <v>0</v>
      </c>
      <c r="I14" s="11" t="n">
        <v>1</v>
      </c>
      <c r="J14" s="11" t="n">
        <v>0</v>
      </c>
      <c r="K14" s="5" t="n"/>
    </row>
    <row r="15">
      <c r="A15" s="9" t="inlineStr">
        <is>
          <t>2025-11</t>
        </is>
      </c>
      <c r="B15" s="5" t="inlineStr">
        <is>
          <t>ssl_industrial</t>
        </is>
      </c>
      <c r="C15" s="11" t="n">
        <v>20115</v>
      </c>
      <c r="D15" s="11" t="n">
        <v>342405</v>
      </c>
      <c r="E15" s="5" t="n"/>
      <c r="F15" s="27" t="n">
        <v>44348</v>
      </c>
      <c r="G15" s="11" t="n">
        <v>3046136</v>
      </c>
      <c r="H15" s="11" t="n">
        <v>0</v>
      </c>
      <c r="I15" s="11" t="n">
        <v>1</v>
      </c>
      <c r="J15" s="11" t="n">
        <v>0</v>
      </c>
      <c r="K15" s="5" t="n"/>
    </row>
    <row r="16">
      <c r="A16" s="9" t="inlineStr">
        <is>
          <t>2025-12</t>
        </is>
      </c>
      <c r="B16" s="5" t="inlineStr">
        <is>
          <t>ssl_industrial</t>
        </is>
      </c>
      <c r="C16" s="11" t="n">
        <v>17292</v>
      </c>
      <c r="D16" s="11" t="n">
        <v>359697</v>
      </c>
      <c r="E16" s="11" t="n">
        <v>3063428</v>
      </c>
      <c r="F16" s="27" t="n">
        <v>44348</v>
      </c>
      <c r="G16" s="11" t="n">
        <v>3063428</v>
      </c>
      <c r="H16" s="11" t="n">
        <v>0</v>
      </c>
      <c r="I16" s="11" t="n">
        <v>1</v>
      </c>
      <c r="J16" s="11" t="n">
        <v>0</v>
      </c>
      <c r="K16" s="5" t="n"/>
    </row>
    <row r="17">
      <c r="A17" s="9" t="inlineStr">
        <is>
          <t>2025-01</t>
        </is>
      </c>
      <c r="B17" s="5" t="inlineStr">
        <is>
          <t>ssl_forestal</t>
        </is>
      </c>
      <c r="C17" s="5" t="n"/>
      <c r="D17" s="5" t="n"/>
      <c r="E17" s="5" t="n"/>
      <c r="F17" s="27" t="n">
        <v>45961</v>
      </c>
      <c r="G17" s="5" t="n"/>
      <c r="H17" s="11" t="n">
        <v>0</v>
      </c>
      <c r="I17" s="11" t="n">
        <v>0</v>
      </c>
      <c r="J17" s="5" t="n"/>
      <c r="K17" s="5" t="n"/>
    </row>
    <row r="18">
      <c r="A18" s="9" t="inlineStr">
        <is>
          <t>2025-02</t>
        </is>
      </c>
      <c r="B18" s="5" t="inlineStr">
        <is>
          <t>ssl_forestal</t>
        </is>
      </c>
      <c r="C18" s="5" t="n"/>
      <c r="D18" s="5" t="n"/>
      <c r="E18" s="5" t="n"/>
      <c r="F18" s="27" t="n">
        <v>45961</v>
      </c>
      <c r="G18" s="11" t="n">
        <v>1949605</v>
      </c>
      <c r="H18" s="11" t="n">
        <v>0</v>
      </c>
      <c r="I18" s="11" t="n">
        <v>0</v>
      </c>
      <c r="J18" s="5" t="n"/>
      <c r="K18" s="5" t="n"/>
    </row>
    <row r="19">
      <c r="A19" s="9" t="inlineStr">
        <is>
          <t>2025-03</t>
        </is>
      </c>
      <c r="B19" s="5" t="inlineStr">
        <is>
          <t>ssl_forestal</t>
        </is>
      </c>
      <c r="C19" s="5" t="n"/>
      <c r="D19" s="5" t="n"/>
      <c r="E19" s="5" t="n"/>
      <c r="F19" s="27" t="n">
        <v>45961</v>
      </c>
      <c r="G19" s="11" t="n">
        <v>2246317</v>
      </c>
      <c r="H19" s="11" t="n">
        <v>0</v>
      </c>
      <c r="I19" s="11" t="n">
        <v>0</v>
      </c>
      <c r="J19" s="5" t="n"/>
      <c r="K19" s="5" t="n"/>
    </row>
    <row r="20">
      <c r="A20" s="9" t="inlineStr">
        <is>
          <t>2025-04</t>
        </is>
      </c>
      <c r="B20" s="5" t="inlineStr">
        <is>
          <t>ssl_forestal</t>
        </is>
      </c>
      <c r="C20" s="5" t="n"/>
      <c r="D20" s="5" t="n"/>
      <c r="E20" s="5" t="n"/>
      <c r="F20" s="27" t="n">
        <v>45961</v>
      </c>
      <c r="G20" s="11" t="n">
        <v>48024</v>
      </c>
      <c r="H20" s="11" t="n">
        <v>0</v>
      </c>
      <c r="I20" s="11" t="n">
        <v>0</v>
      </c>
      <c r="J20" s="5" t="n"/>
      <c r="K20" s="5" t="n"/>
    </row>
    <row r="21">
      <c r="A21" s="9" t="inlineStr">
        <is>
          <t>2025-05</t>
        </is>
      </c>
      <c r="B21" s="5" t="inlineStr">
        <is>
          <t>ssl_forestal</t>
        </is>
      </c>
      <c r="C21" s="5" t="n"/>
      <c r="D21" s="5" t="n"/>
      <c r="E21" s="5" t="n"/>
      <c r="F21" s="27" t="n">
        <v>45961</v>
      </c>
      <c r="G21" s="11" t="n">
        <v>236921</v>
      </c>
      <c r="H21" s="11" t="n">
        <v>0</v>
      </c>
      <c r="I21" s="11" t="n">
        <v>0</v>
      </c>
      <c r="J21" s="5" t="n"/>
      <c r="K21" s="5" t="n"/>
    </row>
    <row r="22">
      <c r="A22" s="9" t="inlineStr">
        <is>
          <t>2025-06</t>
        </is>
      </c>
      <c r="B22" s="5" t="inlineStr">
        <is>
          <t>ssl_forestal</t>
        </is>
      </c>
      <c r="C22" s="5" t="n"/>
      <c r="D22" s="5" t="n"/>
      <c r="E22" s="5" t="n"/>
      <c r="F22" s="27" t="n">
        <v>45961</v>
      </c>
      <c r="G22" s="11" t="n">
        <v>388536</v>
      </c>
      <c r="H22" s="11" t="n">
        <v>0</v>
      </c>
      <c r="I22" s="11" t="n">
        <v>0</v>
      </c>
      <c r="J22" s="5" t="n"/>
      <c r="K22" s="5" t="n"/>
    </row>
    <row r="23">
      <c r="A23" s="9" t="inlineStr">
        <is>
          <t>2025-07</t>
        </is>
      </c>
      <c r="B23" s="5" t="inlineStr">
        <is>
          <t>ssl_forestal</t>
        </is>
      </c>
      <c r="C23" s="5" t="n"/>
      <c r="D23" s="5" t="n"/>
      <c r="E23" s="5" t="n"/>
      <c r="F23" s="27" t="n">
        <v>45961</v>
      </c>
      <c r="G23" s="11" t="n">
        <v>537520</v>
      </c>
      <c r="H23" s="11" t="n">
        <v>0</v>
      </c>
      <c r="I23" s="11" t="n">
        <v>0</v>
      </c>
      <c r="J23" s="5" t="n"/>
      <c r="K23" s="5" t="n"/>
    </row>
    <row r="24">
      <c r="A24" s="9" t="inlineStr">
        <is>
          <t>2025-08</t>
        </is>
      </c>
      <c r="B24" s="5" t="inlineStr">
        <is>
          <t>ssl_forestal</t>
        </is>
      </c>
      <c r="C24" s="5" t="n"/>
      <c r="D24" s="5" t="n"/>
      <c r="E24" s="5" t="n"/>
      <c r="F24" s="27" t="n">
        <v>45961</v>
      </c>
      <c r="G24" s="11" t="n">
        <v>748317</v>
      </c>
      <c r="H24" s="11" t="n">
        <v>0</v>
      </c>
      <c r="I24" s="11" t="n">
        <v>0</v>
      </c>
      <c r="J24" s="5" t="n"/>
      <c r="K24" s="5" t="n"/>
    </row>
    <row r="25">
      <c r="A25" s="9" t="inlineStr">
        <is>
          <t>2025-09</t>
        </is>
      </c>
      <c r="B25" s="5" t="inlineStr">
        <is>
          <t>ssl_forestal</t>
        </is>
      </c>
      <c r="C25" s="5" t="n"/>
      <c r="D25" s="5" t="n"/>
      <c r="E25" s="5" t="n"/>
      <c r="F25" s="27" t="n">
        <v>45961</v>
      </c>
      <c r="G25" s="11" t="n">
        <v>910187</v>
      </c>
      <c r="H25" s="11" t="n">
        <v>0</v>
      </c>
      <c r="I25" s="11" t="n">
        <v>0</v>
      </c>
      <c r="J25" s="5" t="n"/>
      <c r="K25" s="5" t="n"/>
    </row>
    <row r="26">
      <c r="A26" s="9" t="inlineStr">
        <is>
          <t>2025-10</t>
        </is>
      </c>
      <c r="B26" s="5" t="inlineStr">
        <is>
          <t>ssl_forestal</t>
        </is>
      </c>
      <c r="C26" s="5" t="n"/>
      <c r="D26" s="5" t="n"/>
      <c r="E26" s="5" t="n"/>
      <c r="F26" s="27" t="n">
        <v>45961</v>
      </c>
      <c r="G26" s="11" t="n">
        <v>1065997</v>
      </c>
      <c r="H26" s="11" t="n">
        <v>0</v>
      </c>
      <c r="I26" s="11" t="n">
        <v>0</v>
      </c>
      <c r="J26" s="5" t="n"/>
      <c r="K26" s="5" t="n"/>
    </row>
    <row r="27">
      <c r="A27" s="9" t="inlineStr">
        <is>
          <t>2025-11</t>
        </is>
      </c>
      <c r="B27" s="5" t="inlineStr">
        <is>
          <t>ssl_forestal</t>
        </is>
      </c>
      <c r="C27" s="5" t="n"/>
      <c r="D27" s="5" t="n"/>
      <c r="E27" s="5" t="n"/>
      <c r="F27" s="27" t="n">
        <v>45961</v>
      </c>
      <c r="G27" s="11" t="n">
        <v>133430</v>
      </c>
      <c r="H27" s="11" t="n">
        <v>0</v>
      </c>
      <c r="I27" s="11" t="n">
        <v>0</v>
      </c>
      <c r="J27" s="5" t="n"/>
      <c r="K27" s="5" t="n"/>
    </row>
    <row r="28">
      <c r="A28" s="9" t="inlineStr">
        <is>
          <t>2025-12</t>
        </is>
      </c>
      <c r="B28" s="5" t="inlineStr">
        <is>
          <t>ssl_forestal</t>
        </is>
      </c>
      <c r="C28" s="5" t="n"/>
      <c r="D28" s="5" t="n"/>
      <c r="E28" s="5" t="n"/>
      <c r="F28" s="27" t="n">
        <v>45961</v>
      </c>
      <c r="G28" s="11" t="n">
        <v>244850</v>
      </c>
      <c r="H28" s="11" t="n">
        <v>0</v>
      </c>
      <c r="I28" s="11" t="n">
        <v>0</v>
      </c>
      <c r="J28" s="5" t="n"/>
      <c r="K28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  <col width="16" customWidth="1" min="8" max="8"/>
    <col width="18" customWidth="1" min="9" max="9"/>
  </cols>
  <sheetData>
    <row r="1" ht="26" customHeight="1">
      <c r="A1" s="1" t="inlineStr">
        <is>
          <t>DET_FORESTAL_OPER</t>
        </is>
      </c>
    </row>
    <row r="4">
      <c r="A4" s="8" t="inlineStr">
        <is>
          <t>period_key</t>
        </is>
      </c>
      <c r="B4" s="8" t="inlineStr">
        <is>
          <t>metric_code</t>
        </is>
      </c>
      <c r="C4" s="8" t="inlineStr">
        <is>
          <t>metric_label</t>
        </is>
      </c>
      <c r="D4" s="8" t="inlineStr">
        <is>
          <t>unit</t>
        </is>
      </c>
      <c r="E4" s="8" t="inlineStr">
        <is>
          <t>annual_plan</t>
        </is>
      </c>
      <c r="F4" s="8" t="inlineStr">
        <is>
          <t>month_value</t>
        </is>
      </c>
      <c r="G4" s="8" t="inlineStr">
        <is>
          <t>ytd_value</t>
        </is>
      </c>
      <c r="H4" s="8" t="inlineStr">
        <is>
          <t>pct_plan</t>
        </is>
      </c>
      <c r="I4" s="8" t="inlineStr">
        <is>
          <t>observation</t>
        </is>
      </c>
    </row>
    <row r="5">
      <c r="A5" s="9" t="inlineStr">
        <is>
          <t>2026-01</t>
        </is>
      </c>
      <c r="B5" s="5" t="inlineStr">
        <is>
          <t>habilitacion_ha</t>
        </is>
      </c>
      <c r="C5" s="5" t="inlineStr">
        <is>
          <t>Habilitación</t>
        </is>
      </c>
      <c r="D5" s="5" t="inlineStr">
        <is>
          <t>ha</t>
        </is>
      </c>
      <c r="E5" s="12" t="n">
        <v>15405.247809</v>
      </c>
      <c r="F5" s="11" t="n">
        <v>334</v>
      </c>
      <c r="G5" s="11" t="n">
        <v>334</v>
      </c>
      <c r="H5" s="29" t="n">
        <v>0.02168092354897866</v>
      </c>
      <c r="I5" s="5" t="n"/>
    </row>
    <row r="6">
      <c r="A6" s="9" t="inlineStr">
        <is>
          <t>2026-01</t>
        </is>
      </c>
      <c r="B6" s="5" t="inlineStr">
        <is>
          <t>area_preparada_ha</t>
        </is>
      </c>
      <c r="C6" s="5" t="inlineStr">
        <is>
          <t>Área preparada</t>
        </is>
      </c>
      <c r="D6" s="5" t="inlineStr">
        <is>
          <t>ha</t>
        </is>
      </c>
      <c r="E6" s="12" t="n">
        <v>15405.247809</v>
      </c>
      <c r="F6" s="11" t="n">
        <v>417</v>
      </c>
      <c r="G6" s="11" t="n">
        <v>417</v>
      </c>
      <c r="H6" s="29" t="n">
        <v>0.02706869796384461</v>
      </c>
      <c r="I6" s="5" t="n"/>
    </row>
    <row r="7">
      <c r="A7" s="9" t="inlineStr">
        <is>
          <t>2026-01</t>
        </is>
      </c>
      <c r="B7" s="5" t="inlineStr">
        <is>
          <t>plantacion_ha</t>
        </is>
      </c>
      <c r="C7" s="5" t="inlineStr">
        <is>
          <t>Plantación</t>
        </is>
      </c>
      <c r="D7" s="5" t="inlineStr">
        <is>
          <t>ha</t>
        </is>
      </c>
      <c r="E7" s="12" t="n">
        <v>15405.247809</v>
      </c>
      <c r="F7" s="11" t="n">
        <v>133</v>
      </c>
      <c r="G7" s="11" t="n">
        <v>133</v>
      </c>
      <c r="H7" s="29" t="n">
        <v>0.008633421652737009</v>
      </c>
      <c r="I7" s="5" t="n"/>
    </row>
    <row r="8">
      <c r="A8" s="9" t="inlineStr">
        <is>
          <t>2026-01</t>
        </is>
      </c>
      <c r="B8" s="5" t="inlineStr">
        <is>
          <t>reforma_ha</t>
        </is>
      </c>
      <c r="C8" s="5" t="inlineStr">
        <is>
          <t>Reforma (ha)</t>
        </is>
      </c>
      <c r="D8" s="5" t="inlineStr">
        <is>
          <t>ha</t>
        </is>
      </c>
      <c r="E8" s="5" t="n"/>
      <c r="F8" s="11" t="n">
        <v>50</v>
      </c>
      <c r="G8" s="11" t="n">
        <v>50</v>
      </c>
      <c r="H8" s="29" t="n"/>
      <c r="I8" s="5" t="n"/>
    </row>
    <row r="9">
      <c r="A9" s="9" t="inlineStr">
        <is>
          <t>2026-01</t>
        </is>
      </c>
      <c r="B9" s="5" t="inlineStr">
        <is>
          <t>fertilizacion_base_pct</t>
        </is>
      </c>
      <c r="C9" s="5" t="inlineStr">
        <is>
          <t>Conforme a las especificaciones de fertilización de base (%)</t>
        </is>
      </c>
      <c r="D9" s="5" t="inlineStr">
        <is>
          <t>%</t>
        </is>
      </c>
      <c r="E9" s="5" t="n"/>
      <c r="F9" s="11" t="n">
        <v>100</v>
      </c>
      <c r="G9" s="11" t="n">
        <v>1</v>
      </c>
      <c r="H9" s="29" t="n"/>
      <c r="I9" s="5" t="n"/>
    </row>
    <row r="10">
      <c r="A10" s="9" t="inlineStr">
        <is>
          <t>2026-02</t>
        </is>
      </c>
      <c r="B10" s="5" t="inlineStr">
        <is>
          <t>habilitacion_ha</t>
        </is>
      </c>
      <c r="C10" s="5" t="inlineStr">
        <is>
          <t>Habilitación</t>
        </is>
      </c>
      <c r="D10" s="5" t="inlineStr">
        <is>
          <t>ha</t>
        </is>
      </c>
      <c r="E10" s="12" t="n">
        <v>15405.247809</v>
      </c>
      <c r="F10" s="11" t="n">
        <v>605</v>
      </c>
      <c r="G10" s="11" t="n">
        <v>939</v>
      </c>
      <c r="H10" s="29" t="n">
        <v>0.06095325512721845</v>
      </c>
      <c r="I10" s="5" t="n"/>
    </row>
    <row r="11">
      <c r="A11" s="9" t="inlineStr">
        <is>
          <t>2026-02</t>
        </is>
      </c>
      <c r="B11" s="5" t="inlineStr">
        <is>
          <t>area_preparada_ha</t>
        </is>
      </c>
      <c r="C11" s="5" t="inlineStr">
        <is>
          <t>Área preparada</t>
        </is>
      </c>
      <c r="D11" s="5" t="inlineStr">
        <is>
          <t>ha</t>
        </is>
      </c>
      <c r="E11" s="12" t="n">
        <v>15405.247809</v>
      </c>
      <c r="F11" s="11" t="n">
        <v>697</v>
      </c>
      <c r="G11" s="11" t="n">
        <v>1114</v>
      </c>
      <c r="H11" s="29" t="n">
        <v>0.07231302045976713</v>
      </c>
      <c r="I11" s="5" t="n"/>
    </row>
    <row r="12">
      <c r="A12" s="9" t="inlineStr">
        <is>
          <t>2026-02</t>
        </is>
      </c>
      <c r="B12" s="5" t="inlineStr">
        <is>
          <t>plantacion_ha</t>
        </is>
      </c>
      <c r="C12" s="5" t="inlineStr">
        <is>
          <t>Plantación</t>
        </is>
      </c>
      <c r="D12" s="5" t="inlineStr">
        <is>
          <t>ha</t>
        </is>
      </c>
      <c r="E12" s="12" t="n">
        <v>15405.247809</v>
      </c>
      <c r="F12" s="11" t="n">
        <v>504</v>
      </c>
      <c r="G12" s="11" t="n">
        <v>637</v>
      </c>
      <c r="H12" s="29" t="n">
        <v>0.04134954581047726</v>
      </c>
      <c r="I12" s="5" t="n"/>
    </row>
    <row r="13">
      <c r="A13" s="9" t="inlineStr">
        <is>
          <t>2026-02</t>
        </is>
      </c>
      <c r="B13" s="5" t="inlineStr">
        <is>
          <t>reforma_ha</t>
        </is>
      </c>
      <c r="C13" s="5" t="inlineStr">
        <is>
          <t>Reforma (ha)</t>
        </is>
      </c>
      <c r="D13" s="5" t="inlineStr">
        <is>
          <t>ha</t>
        </is>
      </c>
      <c r="E13" s="5" t="n"/>
      <c r="F13" s="11" t="n">
        <v>61</v>
      </c>
      <c r="G13" s="11" t="n">
        <v>111</v>
      </c>
      <c r="H13" s="29" t="n"/>
      <c r="I13" s="5" t="n"/>
    </row>
    <row r="14">
      <c r="A14" s="9" t="inlineStr">
        <is>
          <t>2026-02</t>
        </is>
      </c>
      <c r="B14" s="5" t="inlineStr">
        <is>
          <t>fertilizacion_base_pct</t>
        </is>
      </c>
      <c r="C14" s="5" t="inlineStr">
        <is>
          <t>Conforme a las especificaciones de fertilización de base (%)</t>
        </is>
      </c>
      <c r="D14" s="5" t="inlineStr">
        <is>
          <t>%</t>
        </is>
      </c>
      <c r="E14" s="5" t="n"/>
      <c r="F14" s="5" t="n"/>
      <c r="G14" s="5" t="n"/>
      <c r="H14" s="29" t="n"/>
      <c r="I14" s="5" t="n"/>
    </row>
    <row r="15">
      <c r="A15" s="9" t="inlineStr">
        <is>
          <t>2026-02</t>
        </is>
      </c>
      <c r="B15" s="5" t="inlineStr">
        <is>
          <t>habilitacion_ha</t>
        </is>
      </c>
      <c r="C15" s="5" t="inlineStr">
        <is>
          <t>Habilitación</t>
        </is>
      </c>
      <c r="D15" s="5" t="inlineStr">
        <is>
          <t>ha</t>
        </is>
      </c>
      <c r="E15" s="5" t="n"/>
      <c r="F15" s="5" t="n"/>
      <c r="G15" s="5" t="n"/>
      <c r="H15" s="29" t="n"/>
      <c r="I15" s="5" t="n"/>
    </row>
    <row r="16">
      <c r="A16" s="9" t="inlineStr">
        <is>
          <t>2026-03</t>
        </is>
      </c>
      <c r="B16" s="5" t="inlineStr">
        <is>
          <t>area_preparada_ha</t>
        </is>
      </c>
      <c r="C16" s="5" t="inlineStr">
        <is>
          <t>Área preparada</t>
        </is>
      </c>
      <c r="D16" s="5" t="inlineStr">
        <is>
          <t>ha</t>
        </is>
      </c>
      <c r="E16" s="5" t="n"/>
      <c r="F16" s="5" t="n"/>
      <c r="G16" s="5" t="n"/>
      <c r="H16" s="29" t="n"/>
      <c r="I16" s="5" t="n"/>
    </row>
    <row r="17">
      <c r="A17" s="9" t="inlineStr">
        <is>
          <t>2026-03</t>
        </is>
      </c>
      <c r="B17" s="5" t="inlineStr">
        <is>
          <t>plantacion_ha</t>
        </is>
      </c>
      <c r="C17" s="5" t="inlineStr">
        <is>
          <t>Plantación</t>
        </is>
      </c>
      <c r="D17" s="5" t="inlineStr">
        <is>
          <t>ha</t>
        </is>
      </c>
      <c r="E17" s="5" t="n"/>
      <c r="F17" s="5" t="n"/>
      <c r="G17" s="5" t="n"/>
      <c r="H17" s="29" t="n"/>
      <c r="I17" s="5" t="n"/>
    </row>
    <row r="18">
      <c r="A18" s="9" t="inlineStr">
        <is>
          <t>2026-03</t>
        </is>
      </c>
      <c r="B18" s="5" t="inlineStr">
        <is>
          <t>reforma_ha</t>
        </is>
      </c>
      <c r="C18" s="5" t="inlineStr">
        <is>
          <t>Reforma (ha)</t>
        </is>
      </c>
      <c r="D18" s="5" t="inlineStr">
        <is>
          <t>ha</t>
        </is>
      </c>
      <c r="E18" s="5" t="n"/>
      <c r="F18" s="5" t="n"/>
      <c r="G18" s="5" t="n"/>
      <c r="H18" s="29" t="n"/>
      <c r="I18" s="5" t="n"/>
    </row>
    <row r="19">
      <c r="A19" s="9" t="inlineStr">
        <is>
          <t>2026-03</t>
        </is>
      </c>
      <c r="B19" s="5" t="inlineStr">
        <is>
          <t>fertilizacion_base_pct</t>
        </is>
      </c>
      <c r="C19" s="5" t="inlineStr">
        <is>
          <t>Conforme a las especificaciones de fertilización de base (%)</t>
        </is>
      </c>
      <c r="D19" s="5" t="inlineStr">
        <is>
          <t>%</t>
        </is>
      </c>
      <c r="E19" s="5" t="n"/>
      <c r="F19" s="5" t="n"/>
      <c r="G19" s="5" t="n"/>
      <c r="H19" s="29" t="n"/>
      <c r="I19" s="5" t="n"/>
    </row>
    <row r="20">
      <c r="A20" s="9" t="inlineStr">
        <is>
          <t>2026-04</t>
        </is>
      </c>
      <c r="B20" s="5" t="inlineStr">
        <is>
          <t>habilitacion_ha</t>
        </is>
      </c>
      <c r="C20" s="5" t="inlineStr">
        <is>
          <t>Habilitación</t>
        </is>
      </c>
      <c r="D20" s="5" t="inlineStr">
        <is>
          <t>ha</t>
        </is>
      </c>
      <c r="E20" s="5" t="n"/>
      <c r="F20" s="5" t="n"/>
      <c r="G20" s="5" t="n"/>
      <c r="H20" s="29" t="n"/>
      <c r="I20" s="5" t="n"/>
    </row>
    <row r="21">
      <c r="A21" s="9" t="inlineStr">
        <is>
          <t>2026-04</t>
        </is>
      </c>
      <c r="B21" s="5" t="inlineStr">
        <is>
          <t>area_preparada_ha</t>
        </is>
      </c>
      <c r="C21" s="5" t="inlineStr">
        <is>
          <t>Área preparada</t>
        </is>
      </c>
      <c r="D21" s="5" t="inlineStr">
        <is>
          <t>ha</t>
        </is>
      </c>
      <c r="E21" s="5" t="n"/>
      <c r="F21" s="5" t="n"/>
      <c r="G21" s="5" t="n"/>
      <c r="H21" s="29" t="n"/>
      <c r="I21" s="5" t="n"/>
    </row>
    <row r="22">
      <c r="A22" s="9" t="inlineStr">
        <is>
          <t>2026-04</t>
        </is>
      </c>
      <c r="B22" s="5" t="inlineStr">
        <is>
          <t>plantacion_ha</t>
        </is>
      </c>
      <c r="C22" s="5" t="inlineStr">
        <is>
          <t>Plantación</t>
        </is>
      </c>
      <c r="D22" s="5" t="inlineStr">
        <is>
          <t>ha</t>
        </is>
      </c>
      <c r="E22" s="5" t="n"/>
      <c r="F22" s="5" t="n"/>
      <c r="G22" s="5" t="n"/>
      <c r="H22" s="29" t="n"/>
      <c r="I22" s="5" t="n"/>
    </row>
    <row r="23">
      <c r="A23" s="9" t="inlineStr">
        <is>
          <t>2026-04</t>
        </is>
      </c>
      <c r="B23" s="5" t="inlineStr">
        <is>
          <t>reforma_ha</t>
        </is>
      </c>
      <c r="C23" s="5" t="inlineStr">
        <is>
          <t>Reforma (ha)</t>
        </is>
      </c>
      <c r="D23" s="5" t="inlineStr">
        <is>
          <t>ha</t>
        </is>
      </c>
      <c r="E23" s="5" t="n"/>
      <c r="F23" s="5" t="n"/>
      <c r="G23" s="5" t="n"/>
      <c r="H23" s="29" t="n"/>
      <c r="I23" s="5" t="n"/>
    </row>
    <row r="24">
      <c r="A24" s="9" t="inlineStr">
        <is>
          <t>2026-04</t>
        </is>
      </c>
      <c r="B24" s="5" t="inlineStr">
        <is>
          <t>fertilizacion_base_pct</t>
        </is>
      </c>
      <c r="C24" s="5" t="inlineStr">
        <is>
          <t>Conforme a las especificaciones de fertilización de base (%)</t>
        </is>
      </c>
      <c r="D24" s="5" t="inlineStr">
        <is>
          <t>%</t>
        </is>
      </c>
      <c r="E24" s="5" t="n"/>
      <c r="F24" s="5" t="n"/>
      <c r="G24" s="5" t="n"/>
      <c r="H24" s="29" t="n"/>
      <c r="I24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</cols>
  <sheetData>
    <row r="1" ht="26" customHeight="1">
      <c r="A1" s="1" t="inlineStr">
        <is>
          <t>DET_FINANZAS_TIERRAS</t>
        </is>
      </c>
    </row>
    <row r="4">
      <c r="A4" s="8" t="inlineStr">
        <is>
          <t>period_key</t>
        </is>
      </c>
      <c r="B4" s="8" t="inlineStr">
        <is>
          <t>status_item</t>
        </is>
      </c>
      <c r="C4" s="8" t="inlineStr">
        <is>
          <t>state</t>
        </is>
      </c>
      <c r="D4" s="8" t="inlineStr">
        <is>
          <t>observation</t>
        </is>
      </c>
      <c r="E4" s="8" t="inlineStr">
        <is>
          <t>area_ha</t>
        </is>
      </c>
      <c r="F4" s="8" t="inlineStr">
        <is>
          <t>estimated_value_usd</t>
        </is>
      </c>
    </row>
    <row r="5">
      <c r="A5" s="9" t="inlineStr">
        <is>
          <t>2026-01</t>
        </is>
      </c>
      <c r="B5" s="5" t="inlineStr">
        <is>
          <t>Expediente 1</t>
        </is>
      </c>
      <c r="C5" s="5" t="inlineStr">
        <is>
          <t>Finalizado</t>
        </is>
      </c>
      <c r="D5" s="5" t="inlineStr">
        <is>
          <t>Se encuentra incluida en el fideicomiso de garantía.</t>
        </is>
      </c>
      <c r="E5" s="5" t="inlineStr">
        <is>
          <t>22.536 (57.4 MUSD)</t>
        </is>
      </c>
      <c r="F5" s="5" t="n"/>
    </row>
    <row r="6">
      <c r="A6" s="9" t="inlineStr">
        <is>
          <t>2026-01</t>
        </is>
      </c>
      <c r="B6" s="5" t="inlineStr">
        <is>
          <t>Expediente 2</t>
        </is>
      </c>
      <c r="C6" s="5" t="inlineStr">
        <is>
          <t>En proceso</t>
        </is>
      </c>
      <c r="D6" s="5" t="inlineStr">
        <is>
          <t>Será incluida en la siguiente escritura de inscripción.</t>
        </is>
      </c>
      <c r="E6" s="5" t="inlineStr">
        <is>
          <t>25.588 (65 MUSD)</t>
        </is>
      </c>
      <c r="F6" s="5" t="n"/>
    </row>
    <row r="7">
      <c r="A7" s="9" t="inlineStr">
        <is>
          <t>2026-01</t>
        </is>
      </c>
      <c r="B7" s="5" t="inlineStr">
        <is>
          <t>Expediente 3</t>
        </is>
      </c>
      <c r="C7" s="5" t="inlineStr">
        <is>
          <t>En revisión</t>
        </is>
      </c>
      <c r="D7" s="5" t="inlineStr">
        <is>
          <t>Los planos se encuentran en proceso de aprobación, en el área de Geoprocesamiento en Catastro.</t>
        </is>
      </c>
      <c r="E7" s="5" t="inlineStr">
        <is>
          <t>51.876 ha</t>
        </is>
      </c>
      <c r="F7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</cols>
  <sheetData>
    <row r="1" ht="26" customHeight="1">
      <c r="A1" s="1" t="inlineStr">
        <is>
          <t>DET_FINANZAS_PRESUPUESTO</t>
        </is>
      </c>
    </row>
    <row r="4">
      <c r="A4" s="8" t="inlineStr">
        <is>
          <t>period_key</t>
        </is>
      </c>
      <c r="B4" s="8" t="inlineStr">
        <is>
          <t>metric_code</t>
        </is>
      </c>
      <c r="C4" s="8" t="inlineStr">
        <is>
          <t>metric_label</t>
        </is>
      </c>
      <c r="D4" s="8" t="inlineStr">
        <is>
          <t>value_num</t>
        </is>
      </c>
      <c r="E4" s="8" t="inlineStr">
        <is>
          <t>unit</t>
        </is>
      </c>
      <c r="F4" s="8" t="inlineStr">
        <is>
          <t>observation</t>
        </is>
      </c>
    </row>
    <row r="5">
      <c r="A5" s="9" t="inlineStr">
        <is>
          <t>2026-01</t>
        </is>
      </c>
      <c r="B5" s="5" t="inlineStr">
        <is>
          <t>opex_capex_b26_ytd</t>
        </is>
      </c>
      <c r="C5" s="5" t="inlineStr">
        <is>
          <t>OPEX + CAPEX B26 YTD</t>
        </is>
      </c>
      <c r="D5" s="11" t="n">
        <v>7371476</v>
      </c>
      <c r="E5" s="5" t="inlineStr">
        <is>
          <t>USD</t>
        </is>
      </c>
      <c r="F5" s="5" t="n"/>
    </row>
    <row r="6">
      <c r="A6" s="9" t="inlineStr">
        <is>
          <t>2026-01</t>
        </is>
      </c>
      <c r="B6" s="5" t="inlineStr">
        <is>
          <t>opex_capex_a26_ytd</t>
        </is>
      </c>
      <c r="C6" s="5" t="inlineStr">
        <is>
          <t>OPEX + CAPEX A26+ YTD</t>
        </is>
      </c>
      <c r="D6" s="11" t="n">
        <v>63296074</v>
      </c>
      <c r="E6" s="5" t="inlineStr">
        <is>
          <t>USD</t>
        </is>
      </c>
      <c r="F6" s="5" t="n"/>
    </row>
    <row r="7">
      <c r="A7" s="9" t="inlineStr">
        <is>
          <t>2026-01</t>
        </is>
      </c>
      <c r="B7" s="5" t="inlineStr">
        <is>
          <t>opex_capex_var_usd_ytd</t>
        </is>
      </c>
      <c r="C7" s="5" t="inlineStr">
        <is>
          <t>OPEX + CAPEX VAR USD YTD</t>
        </is>
      </c>
      <c r="D7" s="11" t="n">
        <v>-1041870</v>
      </c>
      <c r="E7" s="5" t="inlineStr">
        <is>
          <t>USD</t>
        </is>
      </c>
      <c r="F7" s="5" t="n"/>
    </row>
    <row r="8">
      <c r="A8" s="9" t="inlineStr">
        <is>
          <t>2026-01</t>
        </is>
      </c>
      <c r="B8" s="5" t="inlineStr">
        <is>
          <t>opex_capex_var_pct_ytd</t>
        </is>
      </c>
      <c r="C8" s="5" t="inlineStr">
        <is>
          <t>OPEX + CAPEX VAR % YTD</t>
        </is>
      </c>
      <c r="D8" s="11" t="n">
        <v>-14</v>
      </c>
      <c r="E8" s="5" t="inlineStr">
        <is>
          <t>%</t>
        </is>
      </c>
      <c r="F8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</cols>
  <sheetData>
    <row r="1" ht="26" customHeight="1">
      <c r="A1" s="1" t="inlineStr">
        <is>
          <t>DET_COMPRAS</t>
        </is>
      </c>
    </row>
    <row r="4">
      <c r="A4" s="8" t="inlineStr">
        <is>
          <t>period_key</t>
        </is>
      </c>
      <c r="B4" s="8" t="inlineStr">
        <is>
          <t>metric_group</t>
        </is>
      </c>
      <c r="C4" s="8" t="inlineStr">
        <is>
          <t>metric_item</t>
        </is>
      </c>
      <c r="D4" s="8" t="inlineStr">
        <is>
          <t>category</t>
        </is>
      </c>
      <c r="E4" s="8" t="inlineStr">
        <is>
          <t>value_num</t>
        </is>
      </c>
      <c r="F4" s="8" t="inlineStr">
        <is>
          <t>unit</t>
        </is>
      </c>
      <c r="G4" s="8" t="inlineStr">
        <is>
          <t>observation</t>
        </is>
      </c>
    </row>
    <row r="5">
      <c r="A5" s="9" t="inlineStr">
        <is>
          <t>2026-01</t>
        </is>
      </c>
      <c r="B5" s="5" t="inlineStr">
        <is>
          <t>descuentos</t>
        </is>
      </c>
      <c r="C5" s="5" t="inlineStr">
        <is>
          <t>descuento_forestal_usd</t>
        </is>
      </c>
      <c r="D5" s="5" t="inlineStr">
        <is>
          <t>Forestal</t>
        </is>
      </c>
      <c r="E5" s="11" t="n">
        <v>897499</v>
      </c>
      <c r="F5" s="5" t="inlineStr">
        <is>
          <t>USD</t>
        </is>
      </c>
      <c r="G5" s="5" t="n"/>
    </row>
    <row r="6">
      <c r="A6" s="9" t="inlineStr">
        <is>
          <t>2026-01</t>
        </is>
      </c>
      <c r="B6" s="5" t="inlineStr">
        <is>
          <t>descuentos</t>
        </is>
      </c>
      <c r="C6" s="5" t="inlineStr">
        <is>
          <t>descuento_forestal_pct</t>
        </is>
      </c>
      <c r="D6" s="5" t="inlineStr">
        <is>
          <t>Forestal</t>
        </is>
      </c>
      <c r="E6" s="12" t="n">
        <v>2.13</v>
      </c>
      <c r="F6" s="5" t="inlineStr">
        <is>
          <t>%</t>
        </is>
      </c>
      <c r="G6" s="5" t="n"/>
    </row>
    <row r="7">
      <c r="A7" s="9" t="inlineStr">
        <is>
          <t>2026-01</t>
        </is>
      </c>
      <c r="B7" s="5" t="inlineStr">
        <is>
          <t>descuentos</t>
        </is>
      </c>
      <c r="C7" s="5" t="inlineStr">
        <is>
          <t>descuento_corporativo_usd</t>
        </is>
      </c>
      <c r="D7" s="5" t="inlineStr">
        <is>
          <t>Corporativo</t>
        </is>
      </c>
      <c r="E7" s="11" t="n">
        <v>494466</v>
      </c>
      <c r="F7" s="5" t="inlineStr">
        <is>
          <t>USD</t>
        </is>
      </c>
      <c r="G7" s="5" t="n"/>
    </row>
    <row r="8">
      <c r="A8" s="9" t="inlineStr">
        <is>
          <t>2026-01</t>
        </is>
      </c>
      <c r="B8" s="5" t="inlineStr">
        <is>
          <t>descuentos</t>
        </is>
      </c>
      <c r="C8" s="5" t="inlineStr">
        <is>
          <t>descuento_corporativo_pct</t>
        </is>
      </c>
      <c r="D8" s="5" t="inlineStr">
        <is>
          <t>Corporativo</t>
        </is>
      </c>
      <c r="E8" s="12" t="n">
        <v>3.61</v>
      </c>
      <c r="F8" s="5" t="inlineStr">
        <is>
          <t>%</t>
        </is>
      </c>
      <c r="G8" s="5" t="n"/>
    </row>
    <row r="9">
      <c r="A9" s="9" t="inlineStr">
        <is>
          <t>2026-01</t>
        </is>
      </c>
      <c r="B9" s="5" t="inlineStr">
        <is>
          <t>descuentos</t>
        </is>
      </c>
      <c r="C9" s="5" t="inlineStr">
        <is>
          <t>descuento_general_usd</t>
        </is>
      </c>
      <c r="D9" s="5" t="inlineStr">
        <is>
          <t>General</t>
        </is>
      </c>
      <c r="E9" s="11" t="n">
        <v>1391965</v>
      </c>
      <c r="F9" s="5" t="inlineStr">
        <is>
          <t>USD</t>
        </is>
      </c>
      <c r="G9" s="5" t="n"/>
    </row>
    <row r="10">
      <c r="A10" s="9" t="inlineStr">
        <is>
          <t>2026-01</t>
        </is>
      </c>
      <c r="B10" s="5" t="inlineStr">
        <is>
          <t>descuentos</t>
        </is>
      </c>
      <c r="C10" s="5" t="inlineStr">
        <is>
          <t>descuento_general_pct</t>
        </is>
      </c>
      <c r="D10" s="5" t="inlineStr">
        <is>
          <t>General</t>
        </is>
      </c>
      <c r="E10" s="12" t="n">
        <v>2.66</v>
      </c>
      <c r="F10" s="5" t="inlineStr">
        <is>
          <t>%</t>
        </is>
      </c>
      <c r="G10" s="5" t="n"/>
    </row>
    <row r="11">
      <c r="A11" s="9" t="inlineStr">
        <is>
          <t>2026-01</t>
        </is>
      </c>
      <c r="B11" s="5" t="inlineStr">
        <is>
          <t>kpi</t>
        </is>
      </c>
      <c r="C11" s="5" t="inlineStr">
        <is>
          <t>ordenes_emitidas</t>
        </is>
      </c>
      <c r="D11" s="5" t="inlineStr">
        <is>
          <t>General</t>
        </is>
      </c>
      <c r="E11" s="11" t="n">
        <v>399</v>
      </c>
      <c r="F11" s="5" t="inlineStr">
        <is>
          <t>cantidad</t>
        </is>
      </c>
      <c r="G11" s="5" t="n"/>
    </row>
    <row r="12">
      <c r="A12" s="9" t="inlineStr">
        <is>
          <t>2026-01</t>
        </is>
      </c>
      <c r="B12" s="5" t="inlineStr">
        <is>
          <t>kpi</t>
        </is>
      </c>
      <c r="C12" s="5" t="inlineStr">
        <is>
          <t>sla_100_pct</t>
        </is>
      </c>
      <c r="D12" s="5" t="inlineStr">
        <is>
          <t>General</t>
        </is>
      </c>
      <c r="E12" s="11" t="n">
        <v>100</v>
      </c>
      <c r="F12" s="5" t="inlineStr">
        <is>
          <t>%</t>
        </is>
      </c>
      <c r="G12" s="5" t="n"/>
    </row>
    <row r="13">
      <c r="A13" s="9" t="inlineStr">
        <is>
          <t>2026-01</t>
        </is>
      </c>
      <c r="B13" s="5" t="inlineStr">
        <is>
          <t>kpi</t>
        </is>
      </c>
      <c r="C13" s="5" t="inlineStr">
        <is>
          <t>exceptuadas_ef_pct</t>
        </is>
      </c>
      <c r="D13" s="5" t="inlineStr">
        <is>
          <t>General</t>
        </is>
      </c>
      <c r="E13" s="12" t="n">
        <v>7.61</v>
      </c>
      <c r="F13" s="5" t="inlineStr">
        <is>
          <t>%</t>
        </is>
      </c>
      <c r="G13" s="5" t="n"/>
    </row>
    <row r="14">
      <c r="A14" s="9" t="inlineStr">
        <is>
          <t>2026-01</t>
        </is>
      </c>
      <c r="B14" s="5" t="inlineStr">
        <is>
          <t>kpi</t>
        </is>
      </c>
      <c r="C14" s="5" t="inlineStr">
        <is>
          <t>valor_total_compras_usd</t>
        </is>
      </c>
      <c r="D14" s="5" t="inlineStr">
        <is>
          <t>General</t>
        </is>
      </c>
      <c r="E14" s="11" t="n">
        <v>1506557</v>
      </c>
      <c r="F14" s="5" t="inlineStr">
        <is>
          <t>USD</t>
        </is>
      </c>
      <c r="G14" s="5" t="n"/>
    </row>
    <row r="15">
      <c r="A15" s="9" t="inlineStr">
        <is>
          <t>2026-02</t>
        </is>
      </c>
      <c r="B15" s="5" t="inlineStr">
        <is>
          <t>descuentos</t>
        </is>
      </c>
      <c r="C15" s="5" t="inlineStr">
        <is>
          <t>descuento_forestal_usd</t>
        </is>
      </c>
      <c r="D15" s="5" t="inlineStr">
        <is>
          <t>Forestal</t>
        </is>
      </c>
      <c r="E15" s="11" t="n">
        <v>1303869</v>
      </c>
      <c r="F15" s="5" t="inlineStr">
        <is>
          <t>USD</t>
        </is>
      </c>
      <c r="G15" s="5" t="n"/>
    </row>
    <row r="16">
      <c r="A16" s="9" t="inlineStr">
        <is>
          <t>2026-02</t>
        </is>
      </c>
      <c r="B16" s="5" t="inlineStr">
        <is>
          <t>descuentos</t>
        </is>
      </c>
      <c r="C16" s="5" t="inlineStr">
        <is>
          <t>descuento_forestal_pct</t>
        </is>
      </c>
      <c r="D16" s="5" t="inlineStr">
        <is>
          <t>Forestal</t>
        </is>
      </c>
      <c r="E16" s="12" t="n">
        <v>1.66</v>
      </c>
      <c r="F16" s="5" t="inlineStr">
        <is>
          <t>%</t>
        </is>
      </c>
      <c r="G16" s="5" t="n"/>
    </row>
    <row r="17">
      <c r="A17" s="9" t="inlineStr">
        <is>
          <t>2026-02</t>
        </is>
      </c>
      <c r="B17" s="5" t="inlineStr">
        <is>
          <t>descuentos</t>
        </is>
      </c>
      <c r="C17" s="5" t="inlineStr">
        <is>
          <t>descuento_corporativo_usd</t>
        </is>
      </c>
      <c r="D17" s="5" t="inlineStr">
        <is>
          <t>Corporativo</t>
        </is>
      </c>
      <c r="E17" s="11" t="n">
        <v>957540</v>
      </c>
      <c r="F17" s="5" t="inlineStr">
        <is>
          <t>USD</t>
        </is>
      </c>
      <c r="G17" s="5" t="n"/>
    </row>
    <row r="18">
      <c r="A18" s="9" t="inlineStr">
        <is>
          <t>2026-02</t>
        </is>
      </c>
      <c r="B18" s="5" t="inlineStr">
        <is>
          <t>descuentos</t>
        </is>
      </c>
      <c r="C18" s="5" t="inlineStr">
        <is>
          <t>descuento_corporativo_pct</t>
        </is>
      </c>
      <c r="D18" s="5" t="inlineStr">
        <is>
          <t>Corporativo</t>
        </is>
      </c>
      <c r="E18" s="12" t="n">
        <v>2.96</v>
      </c>
      <c r="F18" s="5" t="inlineStr">
        <is>
          <t>%</t>
        </is>
      </c>
      <c r="G18" s="5" t="n"/>
    </row>
    <row r="19">
      <c r="A19" s="9" t="inlineStr">
        <is>
          <t>2026-02</t>
        </is>
      </c>
      <c r="B19" s="5" t="inlineStr">
        <is>
          <t>descuentos</t>
        </is>
      </c>
      <c r="C19" s="5" t="inlineStr">
        <is>
          <t>descuento_general_usd</t>
        </is>
      </c>
      <c r="D19" s="5" t="inlineStr">
        <is>
          <t>General</t>
        </is>
      </c>
      <c r="E19" s="11" t="n">
        <v>2261409</v>
      </c>
      <c r="F19" s="5" t="inlineStr">
        <is>
          <t>USD</t>
        </is>
      </c>
      <c r="G19" s="5" t="n"/>
    </row>
    <row r="20">
      <c r="A20" s="9" t="inlineStr">
        <is>
          <t>2026-02</t>
        </is>
      </c>
      <c r="B20" s="5" t="inlineStr">
        <is>
          <t>descuentos</t>
        </is>
      </c>
      <c r="C20" s="5" t="inlineStr">
        <is>
          <t>descuento_general_pct</t>
        </is>
      </c>
      <c r="D20" s="5" t="inlineStr">
        <is>
          <t>General</t>
        </is>
      </c>
      <c r="E20" s="12" t="n">
        <v>2.21</v>
      </c>
      <c r="F20" s="5" t="inlineStr">
        <is>
          <t>%</t>
        </is>
      </c>
      <c r="G20" s="5" t="n"/>
    </row>
    <row r="21">
      <c r="A21" s="9" t="inlineStr">
        <is>
          <t>2026-02</t>
        </is>
      </c>
      <c r="B21" s="5" t="inlineStr">
        <is>
          <t>kpi</t>
        </is>
      </c>
      <c r="C21" s="5" t="inlineStr">
        <is>
          <t>ordenes_emitidas</t>
        </is>
      </c>
      <c r="D21" s="5" t="inlineStr">
        <is>
          <t>General</t>
        </is>
      </c>
      <c r="E21" s="11" t="n">
        <v>231</v>
      </c>
      <c r="F21" s="5" t="inlineStr">
        <is>
          <t>cantidad</t>
        </is>
      </c>
      <c r="G21" s="5" t="n"/>
    </row>
    <row r="22">
      <c r="A22" s="9" t="inlineStr">
        <is>
          <t>2026-02</t>
        </is>
      </c>
      <c r="B22" s="5" t="inlineStr">
        <is>
          <t>kpi</t>
        </is>
      </c>
      <c r="C22" s="5" t="inlineStr">
        <is>
          <t>sla_100_pct</t>
        </is>
      </c>
      <c r="D22" s="5" t="inlineStr">
        <is>
          <t>General</t>
        </is>
      </c>
      <c r="E22" s="12" t="n">
        <v>95.8</v>
      </c>
      <c r="F22" s="5" t="inlineStr">
        <is>
          <t>%</t>
        </is>
      </c>
      <c r="G22" s="5" t="n"/>
    </row>
    <row r="23">
      <c r="A23" s="9" t="inlineStr">
        <is>
          <t>2026-02</t>
        </is>
      </c>
      <c r="B23" s="5" t="inlineStr">
        <is>
          <t>kpi</t>
        </is>
      </c>
      <c r="C23" s="5" t="inlineStr">
        <is>
          <t>exceptuadas_ef_pct</t>
        </is>
      </c>
      <c r="D23" s="5" t="inlineStr">
        <is>
          <t>General</t>
        </is>
      </c>
      <c r="E23" s="12" t="n">
        <v>5.21</v>
      </c>
      <c r="F23" s="5" t="inlineStr">
        <is>
          <t>%</t>
        </is>
      </c>
      <c r="G23" s="5" t="n"/>
    </row>
    <row r="24">
      <c r="A24" s="9" t="inlineStr">
        <is>
          <t>2026-02</t>
        </is>
      </c>
      <c r="B24" s="5" t="inlineStr">
        <is>
          <t>kpi</t>
        </is>
      </c>
      <c r="C24" s="5" t="inlineStr">
        <is>
          <t>valor_total_compras_usd</t>
        </is>
      </c>
      <c r="D24" s="5" t="inlineStr">
        <is>
          <t>General</t>
        </is>
      </c>
      <c r="E24" s="12" t="n">
        <v>124188.6</v>
      </c>
      <c r="F24" s="5" t="inlineStr">
        <is>
          <t>USD</t>
        </is>
      </c>
      <c r="G24" s="5" t="n"/>
    </row>
    <row r="25">
      <c r="A25" s="9" t="inlineStr">
        <is>
          <t>2026-05</t>
        </is>
      </c>
      <c r="B25" s="5" t="inlineStr">
        <is>
          <t>descuentos</t>
        </is>
      </c>
      <c r="C25" s="5" t="inlineStr">
        <is>
          <t>descuento_forestal_usd</t>
        </is>
      </c>
      <c r="D25" s="5" t="inlineStr">
        <is>
          <t>Forestal</t>
        </is>
      </c>
      <c r="E25" s="11" t="n">
        <v>1303869</v>
      </c>
      <c r="F25" s="5" t="inlineStr">
        <is>
          <t>USD</t>
        </is>
      </c>
      <c r="G25" s="5" t="n"/>
    </row>
    <row r="26">
      <c r="A26" s="9" t="inlineStr">
        <is>
          <t>2026-05</t>
        </is>
      </c>
      <c r="B26" s="5" t="inlineStr">
        <is>
          <t>descuentos</t>
        </is>
      </c>
      <c r="C26" s="5" t="inlineStr">
        <is>
          <t>descuento_forestal_pct</t>
        </is>
      </c>
      <c r="D26" s="5" t="inlineStr">
        <is>
          <t>Forestal</t>
        </is>
      </c>
      <c r="E26" s="5" t="n"/>
      <c r="F26" s="5" t="inlineStr">
        <is>
          <t>%</t>
        </is>
      </c>
      <c r="G26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</cols>
  <sheetData>
    <row r="1" ht="26" customHeight="1">
      <c r="A1" s="1" t="inlineStr">
        <is>
          <t>DET_LOGISTICA</t>
        </is>
      </c>
    </row>
    <row r="4">
      <c r="A4" s="8" t="inlineStr">
        <is>
          <t>period_key</t>
        </is>
      </c>
      <c r="B4" s="8" t="inlineStr">
        <is>
          <t>metric_code</t>
        </is>
      </c>
      <c r="C4" s="8" t="inlineStr">
        <is>
          <t>metric_label</t>
        </is>
      </c>
      <c r="D4" s="8" t="inlineStr">
        <is>
          <t>value_num</t>
        </is>
      </c>
      <c r="E4" s="8" t="inlineStr">
        <is>
          <t>value_text</t>
        </is>
      </c>
      <c r="F4" s="8" t="inlineStr">
        <is>
          <t>unit</t>
        </is>
      </c>
      <c r="G4" s="8" t="inlineStr">
        <is>
          <t>observation</t>
        </is>
      </c>
    </row>
    <row r="5">
      <c r="A5" s="9" t="inlineStr"/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</cols>
  <sheetData>
    <row r="1" ht="26" customHeight="1">
      <c r="A1" s="1" t="inlineStr">
        <is>
          <t>DET_AMBIENTAL</t>
        </is>
      </c>
    </row>
    <row r="4">
      <c r="A4" s="8" t="inlineStr">
        <is>
          <t>period_key</t>
        </is>
      </c>
      <c r="B4" s="8" t="inlineStr">
        <is>
          <t>contractor_name</t>
        </is>
      </c>
      <c r="C4" s="8" t="inlineStr">
        <is>
          <t>permits_obtained</t>
        </is>
      </c>
      <c r="D4" s="8" t="inlineStr">
        <is>
          <t>permits_in_process</t>
        </is>
      </c>
      <c r="E4" s="8" t="inlineStr">
        <is>
          <t>compliance_pct</t>
        </is>
      </c>
      <c r="F4" s="8" t="inlineStr">
        <is>
          <t>inspections_n</t>
        </is>
      </c>
      <c r="G4" s="8" t="inlineStr">
        <is>
          <t>observation</t>
        </is>
      </c>
    </row>
    <row r="5">
      <c r="A5" s="9" t="inlineStr">
        <is>
          <t>2026-02</t>
        </is>
      </c>
      <c r="B5" s="5" t="inlineStr">
        <is>
          <t>Forestadora del Este</t>
        </is>
      </c>
      <c r="C5" s="5" t="n"/>
      <c r="D5" s="5" t="n"/>
      <c r="E5" s="29" t="n">
        <v>0.83</v>
      </c>
      <c r="F5" s="11" t="n">
        <v>5</v>
      </c>
      <c r="G5" s="5" t="n"/>
    </row>
    <row r="6">
      <c r="A6" s="9" t="inlineStr">
        <is>
          <t>2026-02</t>
        </is>
      </c>
      <c r="B6" s="5" t="inlineStr">
        <is>
          <t>Ranchales</t>
        </is>
      </c>
      <c r="C6" s="5" t="n"/>
      <c r="D6" s="5" t="n"/>
      <c r="E6" s="29" t="n">
        <v>0.84</v>
      </c>
      <c r="F6" s="11" t="n">
        <v>2</v>
      </c>
      <c r="G6" s="5" t="n"/>
    </row>
    <row r="7">
      <c r="A7" s="9" t="inlineStr">
        <is>
          <t>2026-02</t>
        </is>
      </c>
      <c r="B7" s="5" t="inlineStr">
        <is>
          <t>Agroganadera Maria Eugenia</t>
        </is>
      </c>
      <c r="C7" s="5" t="n"/>
      <c r="D7" s="5" t="n"/>
      <c r="E7" s="29" t="n">
        <v>0.92</v>
      </c>
      <c r="F7" s="11" t="n">
        <v>4</v>
      </c>
      <c r="G7" s="5" t="n"/>
    </row>
    <row r="8">
      <c r="A8" s="9" t="inlineStr">
        <is>
          <t>2026-02</t>
        </is>
      </c>
      <c r="B8" s="5" t="inlineStr">
        <is>
          <t>Tecnoforestal</t>
        </is>
      </c>
      <c r="C8" s="5" t="n"/>
      <c r="D8" s="5" t="n"/>
      <c r="E8" s="29" t="n">
        <v>0.93</v>
      </c>
      <c r="F8" s="11" t="n">
        <v>5</v>
      </c>
      <c r="G8" s="5" t="n"/>
    </row>
    <row r="9">
      <c r="A9" s="9" t="inlineStr">
        <is>
          <t>2026-02</t>
        </is>
      </c>
      <c r="B9" s="5" t="inlineStr">
        <is>
          <t>Plansur</t>
        </is>
      </c>
      <c r="C9" s="5" t="n"/>
      <c r="D9" s="5" t="n"/>
      <c r="E9" s="29" t="n">
        <v>0.95</v>
      </c>
      <c r="F9" s="11" t="n">
        <v>5</v>
      </c>
      <c r="G9" s="5" t="n"/>
    </row>
    <row r="10">
      <c r="A10" s="9" t="inlineStr">
        <is>
          <t>2026-02</t>
        </is>
      </c>
      <c r="B10" s="5" t="inlineStr">
        <is>
          <t>Lusitana</t>
        </is>
      </c>
      <c r="C10" s="5" t="n"/>
      <c r="D10" s="5" t="n"/>
      <c r="E10" s="29" t="n">
        <v>0.96</v>
      </c>
      <c r="F10" s="11" t="n">
        <v>4</v>
      </c>
      <c r="G10" s="5" t="n"/>
    </row>
    <row r="11">
      <c r="A11" s="9" t="inlineStr">
        <is>
          <t>2026-02</t>
        </is>
      </c>
      <c r="B11" s="5" t="inlineStr">
        <is>
          <t>OAC Emprendimientos</t>
        </is>
      </c>
      <c r="C11" s="5" t="n"/>
      <c r="D11" s="5" t="n"/>
      <c r="E11" s="29" t="n">
        <v>0.99</v>
      </c>
      <c r="F11" s="11" t="n">
        <v>5</v>
      </c>
      <c r="G11" s="5" t="n"/>
    </row>
    <row r="12">
      <c r="A12" s="9" t="inlineStr">
        <is>
          <t>2026-02</t>
        </is>
      </c>
      <c r="B12" s="5" t="inlineStr">
        <is>
          <t>Rancho Forestal</t>
        </is>
      </c>
      <c r="C12" s="5" t="n"/>
      <c r="D12" s="5" t="n"/>
      <c r="E12" s="29" t="n">
        <v>1</v>
      </c>
      <c r="F12" s="11" t="n">
        <v>5</v>
      </c>
      <c r="G12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</cols>
  <sheetData>
    <row r="1" ht="26" customHeight="1">
      <c r="A1" s="1" t="inlineStr">
        <is>
          <t>DET_SOCIAL_QCS</t>
        </is>
      </c>
    </row>
    <row r="4">
      <c r="A4" s="8" t="inlineStr">
        <is>
          <t>period_key</t>
        </is>
      </c>
      <c r="B4" s="8" t="inlineStr">
        <is>
          <t>quejas</t>
        </is>
      </c>
      <c r="C4" s="8" t="inlineStr">
        <is>
          <t>consultas</t>
        </is>
      </c>
      <c r="D4" s="8" t="inlineStr">
        <is>
          <t>sugerencias</t>
        </is>
      </c>
      <c r="E4" s="8" t="inlineStr">
        <is>
          <t>contactos_total</t>
        </is>
      </c>
      <c r="F4" s="8" t="inlineStr">
        <is>
          <t>observation</t>
        </is>
      </c>
    </row>
    <row r="5">
      <c r="A5" s="9" t="inlineStr">
        <is>
          <t>2024-01</t>
        </is>
      </c>
      <c r="B5" s="11" t="n">
        <v>3</v>
      </c>
      <c r="C5" s="5" t="n"/>
      <c r="D5" s="5" t="n"/>
      <c r="E5" s="11" t="n">
        <v>3</v>
      </c>
      <c r="F5" s="5" t="n"/>
    </row>
    <row r="6">
      <c r="A6" s="9" t="inlineStr">
        <is>
          <t>2024-02</t>
        </is>
      </c>
      <c r="B6" s="11" t="n">
        <v>19</v>
      </c>
      <c r="C6" s="5" t="n"/>
      <c r="D6" s="5" t="n"/>
      <c r="E6" s="11" t="n">
        <v>19</v>
      </c>
      <c r="F6" s="5" t="n"/>
    </row>
    <row r="7">
      <c r="A7" s="9" t="inlineStr">
        <is>
          <t>2024-03</t>
        </is>
      </c>
      <c r="B7" s="11" t="n">
        <v>1</v>
      </c>
      <c r="C7" s="5" t="n"/>
      <c r="D7" s="5" t="n"/>
      <c r="E7" s="11" t="n">
        <v>1</v>
      </c>
      <c r="F7" s="5" t="n"/>
    </row>
    <row r="8">
      <c r="A8" s="9" t="inlineStr">
        <is>
          <t>2024-04</t>
        </is>
      </c>
      <c r="B8" s="11" t="n">
        <v>0</v>
      </c>
      <c r="C8" s="5" t="n"/>
      <c r="D8" s="5" t="n"/>
      <c r="E8" s="11" t="n">
        <v>0</v>
      </c>
      <c r="F8" s="5" t="n"/>
    </row>
    <row r="9">
      <c r="A9" s="9" t="inlineStr">
        <is>
          <t>2024-05</t>
        </is>
      </c>
      <c r="B9" s="11" t="n">
        <v>5</v>
      </c>
      <c r="C9" s="5" t="n"/>
      <c r="D9" s="5" t="n"/>
      <c r="E9" s="11" t="n">
        <v>5</v>
      </c>
      <c r="F9" s="5" t="n"/>
    </row>
    <row r="10">
      <c r="A10" s="9" t="inlineStr">
        <is>
          <t>2024-06</t>
        </is>
      </c>
      <c r="B10" s="11" t="n">
        <v>5</v>
      </c>
      <c r="C10" s="5" t="n"/>
      <c r="D10" s="5" t="n"/>
      <c r="E10" s="11" t="n">
        <v>5</v>
      </c>
      <c r="F10" s="5" t="n"/>
    </row>
    <row r="11">
      <c r="A11" s="9" t="inlineStr">
        <is>
          <t>2024-07</t>
        </is>
      </c>
      <c r="B11" s="11" t="n">
        <v>7</v>
      </c>
      <c r="C11" s="5" t="n"/>
      <c r="D11" s="5" t="n"/>
      <c r="E11" s="11" t="n">
        <v>7</v>
      </c>
      <c r="F11" s="5" t="n"/>
    </row>
    <row r="12">
      <c r="A12" s="9" t="inlineStr">
        <is>
          <t>2024-08</t>
        </is>
      </c>
      <c r="B12" s="11" t="n">
        <v>14</v>
      </c>
      <c r="C12" s="5" t="n"/>
      <c r="D12" s="5" t="n"/>
      <c r="E12" s="11" t="n">
        <v>14</v>
      </c>
      <c r="F12" s="5" t="n"/>
    </row>
    <row r="13">
      <c r="A13" s="9" t="inlineStr">
        <is>
          <t>2024-09</t>
        </is>
      </c>
      <c r="B13" s="11" t="n">
        <v>14</v>
      </c>
      <c r="C13" s="5" t="n"/>
      <c r="D13" s="5" t="n"/>
      <c r="E13" s="11" t="n">
        <v>14</v>
      </c>
      <c r="F13" s="5" t="n"/>
    </row>
    <row r="14">
      <c r="A14" s="9" t="inlineStr">
        <is>
          <t>2024-10</t>
        </is>
      </c>
      <c r="B14" s="11" t="n">
        <v>29</v>
      </c>
      <c r="C14" s="5" t="n"/>
      <c r="D14" s="5" t="n"/>
      <c r="E14" s="11" t="n">
        <v>29</v>
      </c>
      <c r="F14" s="5" t="n"/>
    </row>
    <row r="15">
      <c r="A15" s="9" t="inlineStr">
        <is>
          <t>2024-11</t>
        </is>
      </c>
      <c r="B15" s="11" t="n">
        <v>16</v>
      </c>
      <c r="C15" s="5" t="n"/>
      <c r="D15" s="5" t="n"/>
      <c r="E15" s="11" t="n">
        <v>16</v>
      </c>
      <c r="F15" s="5" t="n"/>
    </row>
    <row r="16">
      <c r="A16" s="9" t="inlineStr">
        <is>
          <t>2024-12</t>
        </is>
      </c>
      <c r="B16" s="11" t="n">
        <v>15</v>
      </c>
      <c r="C16" s="5" t="n"/>
      <c r="D16" s="5" t="n"/>
      <c r="E16" s="11" t="n">
        <v>15</v>
      </c>
      <c r="F16" s="5" t="n"/>
    </row>
    <row r="17">
      <c r="A17" s="9" t="inlineStr">
        <is>
          <t>2025-01</t>
        </is>
      </c>
      <c r="B17" s="11" t="n">
        <v>2</v>
      </c>
      <c r="C17" s="11" t="n">
        <v>16</v>
      </c>
      <c r="D17" s="11" t="n">
        <v>0</v>
      </c>
      <c r="E17" s="11" t="n">
        <v>18</v>
      </c>
      <c r="F17" s="5" t="n"/>
    </row>
    <row r="18">
      <c r="A18" s="9" t="inlineStr">
        <is>
          <t>2025-02</t>
        </is>
      </c>
      <c r="B18" s="11" t="n">
        <v>15</v>
      </c>
      <c r="C18" s="11" t="n">
        <v>94</v>
      </c>
      <c r="D18" s="11" t="n">
        <v>1</v>
      </c>
      <c r="E18" s="11" t="n">
        <v>110</v>
      </c>
      <c r="F18" s="5" t="n"/>
    </row>
    <row r="19">
      <c r="A19" s="9" t="inlineStr">
        <is>
          <t>2025-03</t>
        </is>
      </c>
      <c r="B19" s="11" t="n">
        <v>11</v>
      </c>
      <c r="C19" s="11" t="n">
        <v>49</v>
      </c>
      <c r="D19" s="11" t="n">
        <v>1</v>
      </c>
      <c r="E19" s="11" t="n">
        <v>61</v>
      </c>
      <c r="F19" s="5" t="n"/>
    </row>
    <row r="20">
      <c r="A20" s="9" t="inlineStr">
        <is>
          <t>2025-04</t>
        </is>
      </c>
      <c r="B20" s="11" t="n">
        <v>8</v>
      </c>
      <c r="C20" s="11" t="n">
        <v>90</v>
      </c>
      <c r="D20" s="11" t="n">
        <v>1</v>
      </c>
      <c r="E20" s="11" t="n">
        <v>99</v>
      </c>
      <c r="F20" s="5" t="n"/>
    </row>
    <row r="21">
      <c r="A21" s="9" t="inlineStr">
        <is>
          <t>2025-05</t>
        </is>
      </c>
      <c r="B21" s="11" t="n">
        <v>16</v>
      </c>
      <c r="C21" s="11" t="n">
        <v>54</v>
      </c>
      <c r="D21" s="11" t="n">
        <v>0</v>
      </c>
      <c r="E21" s="11" t="n">
        <v>70</v>
      </c>
      <c r="F21" s="5" t="n"/>
    </row>
    <row r="22">
      <c r="A22" s="9" t="inlineStr">
        <is>
          <t>2025-06</t>
        </is>
      </c>
      <c r="B22" s="11" t="n">
        <v>4</v>
      </c>
      <c r="C22" s="11" t="n">
        <v>153</v>
      </c>
      <c r="D22" s="11" t="n">
        <v>2</v>
      </c>
      <c r="E22" s="11" t="n">
        <v>159</v>
      </c>
      <c r="F22" s="5" t="n"/>
    </row>
    <row r="23">
      <c r="A23" s="9" t="inlineStr">
        <is>
          <t>2025-07</t>
        </is>
      </c>
      <c r="B23" s="11" t="n">
        <v>3</v>
      </c>
      <c r="C23" s="11" t="n">
        <v>17</v>
      </c>
      <c r="D23" s="11" t="n">
        <v>1</v>
      </c>
      <c r="E23" s="11" t="n">
        <v>21</v>
      </c>
      <c r="F23" s="5" t="n"/>
    </row>
    <row r="24">
      <c r="A24" s="9" t="inlineStr">
        <is>
          <t>2025-08</t>
        </is>
      </c>
      <c r="B24" s="11" t="n">
        <v>3</v>
      </c>
      <c r="C24" s="11" t="n">
        <v>46</v>
      </c>
      <c r="D24" s="11" t="n">
        <v>1</v>
      </c>
      <c r="E24" s="11" t="n">
        <v>50</v>
      </c>
      <c r="F24" s="5" t="n"/>
    </row>
    <row r="25">
      <c r="A25" s="9" t="inlineStr">
        <is>
          <t>2025-09</t>
        </is>
      </c>
      <c r="B25" s="11" t="n">
        <v>3</v>
      </c>
      <c r="C25" s="11" t="n">
        <v>16</v>
      </c>
      <c r="D25" s="11" t="n">
        <v>0</v>
      </c>
      <c r="E25" s="11" t="n">
        <v>19</v>
      </c>
      <c r="F25" s="5" t="n"/>
    </row>
    <row r="26">
      <c r="A26" s="9" t="inlineStr">
        <is>
          <t>2025-10</t>
        </is>
      </c>
      <c r="B26" s="11" t="n">
        <v>2</v>
      </c>
      <c r="C26" s="11" t="n">
        <v>13</v>
      </c>
      <c r="D26" s="11" t="n">
        <v>0</v>
      </c>
      <c r="E26" s="11" t="n">
        <v>15</v>
      </c>
      <c r="F26" s="5" t="n"/>
    </row>
    <row r="27">
      <c r="A27" s="9" t="inlineStr">
        <is>
          <t>2025-11</t>
        </is>
      </c>
      <c r="B27" s="11" t="n">
        <v>1</v>
      </c>
      <c r="C27" s="11" t="n">
        <v>57</v>
      </c>
      <c r="D27" s="11" t="n">
        <v>0</v>
      </c>
      <c r="E27" s="11" t="n">
        <v>58</v>
      </c>
      <c r="F27" s="5" t="n"/>
    </row>
    <row r="28">
      <c r="A28" s="9" t="inlineStr">
        <is>
          <t>2025-12</t>
        </is>
      </c>
      <c r="B28" s="11" t="n">
        <v>6</v>
      </c>
      <c r="C28" s="11" t="n">
        <v>82</v>
      </c>
      <c r="D28" s="11" t="n">
        <v>3</v>
      </c>
      <c r="E28" s="11" t="n">
        <v>91</v>
      </c>
      <c r="F28" s="5" t="n"/>
    </row>
    <row r="29">
      <c r="A29" s="9" t="inlineStr">
        <is>
          <t>2026-01</t>
        </is>
      </c>
      <c r="B29" s="11" t="n">
        <v>3</v>
      </c>
      <c r="C29" s="11" t="n">
        <v>98</v>
      </c>
      <c r="D29" s="11" t="n">
        <v>0</v>
      </c>
      <c r="E29" s="11" t="n">
        <v>101</v>
      </c>
      <c r="F29" s="5" t="n"/>
    </row>
    <row r="30">
      <c r="A30" s="9" t="inlineStr">
        <is>
          <t>2026-02</t>
        </is>
      </c>
      <c r="B30" s="11" t="n">
        <v>4</v>
      </c>
      <c r="C30" s="11" t="n">
        <v>76</v>
      </c>
      <c r="D30" s="11" t="n">
        <v>0</v>
      </c>
      <c r="E30" s="11" t="n">
        <v>80</v>
      </c>
      <c r="F30" s="5" t="n"/>
    </row>
    <row r="31">
      <c r="A31" s="9" t="inlineStr">
        <is>
          <t>2026-03</t>
        </is>
      </c>
      <c r="B31" s="5" t="n"/>
      <c r="C31" s="5" t="n"/>
      <c r="D31" s="5" t="n"/>
      <c r="E31" s="11" t="n">
        <v>0</v>
      </c>
      <c r="F31" s="5" t="n"/>
    </row>
    <row r="32">
      <c r="A32" s="9" t="inlineStr">
        <is>
          <t>2026-04</t>
        </is>
      </c>
      <c r="B32" s="5" t="n"/>
      <c r="C32" s="5" t="n"/>
      <c r="D32" s="5" t="n"/>
      <c r="E32" s="11" t="n">
        <v>0</v>
      </c>
      <c r="F32" s="5" t="n"/>
    </row>
    <row r="33">
      <c r="A33" s="9" t="inlineStr">
        <is>
          <t>2026-05</t>
        </is>
      </c>
      <c r="B33" s="5" t="n"/>
      <c r="C33" s="5" t="n"/>
      <c r="D33" s="5" t="n"/>
      <c r="E33" s="11" t="n">
        <v>0</v>
      </c>
      <c r="F33" s="5" t="n"/>
    </row>
    <row r="34">
      <c r="A34" s="9" t="inlineStr">
        <is>
          <t>2026-06</t>
        </is>
      </c>
      <c r="B34" s="5" t="n"/>
      <c r="C34" s="5" t="n"/>
      <c r="D34" s="5" t="n"/>
      <c r="E34" s="11" t="n">
        <v>0</v>
      </c>
      <c r="F34" s="5" t="n"/>
    </row>
    <row r="35">
      <c r="A35" s="9" t="inlineStr">
        <is>
          <t>2026-07</t>
        </is>
      </c>
      <c r="B35" s="5" t="n"/>
      <c r="C35" s="5" t="n"/>
      <c r="D35" s="5" t="n"/>
      <c r="E35" s="11" t="n">
        <v>0</v>
      </c>
      <c r="F35" s="5" t="n"/>
    </row>
    <row r="36">
      <c r="A36" s="9" t="inlineStr">
        <is>
          <t>2026-08</t>
        </is>
      </c>
      <c r="B36" s="5" t="n"/>
      <c r="C36" s="5" t="n"/>
      <c r="D36" s="5" t="n"/>
      <c r="E36" s="11" t="n">
        <v>0</v>
      </c>
      <c r="F36" s="5" t="n"/>
    </row>
    <row r="37">
      <c r="A37" s="9" t="inlineStr">
        <is>
          <t>2026-09</t>
        </is>
      </c>
      <c r="B37" s="5" t="n"/>
      <c r="C37" s="5" t="n"/>
      <c r="D37" s="5" t="n"/>
      <c r="E37" s="11" t="n">
        <v>0</v>
      </c>
      <c r="F37" s="5" t="n"/>
    </row>
    <row r="38">
      <c r="A38" s="9" t="inlineStr">
        <is>
          <t>2026-10</t>
        </is>
      </c>
      <c r="B38" s="5" t="n"/>
      <c r="C38" s="5" t="n"/>
      <c r="D38" s="5" t="n"/>
      <c r="E38" s="11" t="n">
        <v>0</v>
      </c>
      <c r="F38" s="5" t="n"/>
    </row>
    <row r="39">
      <c r="A39" s="9" t="inlineStr">
        <is>
          <t>2026-11</t>
        </is>
      </c>
      <c r="B39" s="5" t="n"/>
      <c r="C39" s="5" t="n"/>
      <c r="D39" s="5" t="n"/>
      <c r="E39" s="11" t="n">
        <v>0</v>
      </c>
      <c r="F39" s="5" t="n"/>
    </row>
    <row r="40">
      <c r="A40" s="9" t="inlineStr">
        <is>
          <t>2026-12</t>
        </is>
      </c>
      <c r="B40" s="5" t="n"/>
      <c r="C40" s="5" t="n"/>
      <c r="D40" s="5" t="n"/>
      <c r="E40" s="11" t="n">
        <v>0</v>
      </c>
      <c r="F40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0" customWidth="1" min="7" max="7"/>
  </cols>
  <sheetData>
    <row r="1" ht="26" customHeight="1">
      <c r="A1" s="1" t="inlineStr">
        <is>
          <t>DET_SOCIAL_REDES</t>
        </is>
      </c>
    </row>
    <row r="4">
      <c r="A4" s="8" t="inlineStr">
        <is>
          <t>period_key</t>
        </is>
      </c>
      <c r="B4" s="8" t="inlineStr">
        <is>
          <t>instagram</t>
        </is>
      </c>
      <c r="C4" s="8" t="inlineStr">
        <is>
          <t>facebook</t>
        </is>
      </c>
      <c r="D4" s="8" t="inlineStr">
        <is>
          <t>linkedin</t>
        </is>
      </c>
      <c r="E4" s="8" t="inlineStr">
        <is>
          <t>x_twitter</t>
        </is>
      </c>
      <c r="F4" s="8" t="inlineStr">
        <is>
          <t>total_followers</t>
        </is>
      </c>
      <c r="G4" s="8" t="inlineStr">
        <is>
          <t>observation</t>
        </is>
      </c>
    </row>
    <row r="5">
      <c r="A5" s="9" t="inlineStr">
        <is>
          <t>2024-01</t>
        </is>
      </c>
      <c r="B5" s="11" t="n">
        <v>8298</v>
      </c>
      <c r="C5" s="11" t="n">
        <v>10450</v>
      </c>
      <c r="D5" s="11" t="n">
        <v>34150</v>
      </c>
      <c r="E5" s="5" t="n"/>
      <c r="F5" s="11" t="n">
        <v>52898</v>
      </c>
      <c r="G5" s="5" t="n"/>
    </row>
    <row r="6">
      <c r="A6" s="9" t="inlineStr">
        <is>
          <t>2024-02</t>
        </is>
      </c>
      <c r="B6" s="11" t="n">
        <v>8421</v>
      </c>
      <c r="C6" s="11" t="n">
        <v>10556</v>
      </c>
      <c r="D6" s="11" t="n">
        <v>34709</v>
      </c>
      <c r="E6" s="5" t="n"/>
      <c r="F6" s="11" t="n">
        <v>53686</v>
      </c>
      <c r="G6" s="5" t="n"/>
    </row>
    <row r="7">
      <c r="A7" s="9" t="inlineStr">
        <is>
          <t>2024-03</t>
        </is>
      </c>
      <c r="B7" s="11" t="n">
        <v>8508</v>
      </c>
      <c r="C7" s="11" t="n">
        <v>10634</v>
      </c>
      <c r="D7" s="11" t="n">
        <v>35117</v>
      </c>
      <c r="E7" s="5" t="n"/>
      <c r="F7" s="11" t="n">
        <v>54259</v>
      </c>
      <c r="G7" s="5" t="n"/>
    </row>
    <row r="8">
      <c r="A8" s="9" t="inlineStr">
        <is>
          <t>2024-04</t>
        </is>
      </c>
      <c r="B8" s="11" t="n">
        <v>8688</v>
      </c>
      <c r="C8" s="11" t="n">
        <v>10789</v>
      </c>
      <c r="D8" s="11" t="n">
        <v>36039</v>
      </c>
      <c r="E8" s="5" t="n"/>
      <c r="F8" s="11" t="n">
        <v>55516</v>
      </c>
      <c r="G8" s="5" t="n"/>
    </row>
    <row r="9">
      <c r="A9" s="9" t="inlineStr">
        <is>
          <t>2024-05</t>
        </is>
      </c>
      <c r="B9" s="11" t="n">
        <v>8887</v>
      </c>
      <c r="C9" s="11" t="n">
        <v>10871</v>
      </c>
      <c r="D9" s="11" t="n">
        <v>37302</v>
      </c>
      <c r="E9" s="5" t="n"/>
      <c r="F9" s="11" t="n">
        <v>57060</v>
      </c>
      <c r="G9" s="5" t="n"/>
    </row>
    <row r="10">
      <c r="A10" s="9" t="inlineStr">
        <is>
          <t>2024-06</t>
        </is>
      </c>
      <c r="B10" s="11" t="n">
        <v>9125</v>
      </c>
      <c r="C10" s="11" t="n">
        <v>11024</v>
      </c>
      <c r="D10" s="11" t="n">
        <v>39163</v>
      </c>
      <c r="E10" s="5" t="n"/>
      <c r="F10" s="11" t="n">
        <v>59312</v>
      </c>
      <c r="G10" s="5" t="n"/>
    </row>
    <row r="11">
      <c r="A11" s="9" t="inlineStr">
        <is>
          <t>2024-07</t>
        </is>
      </c>
      <c r="B11" s="11" t="n">
        <v>9284</v>
      </c>
      <c r="C11" s="11" t="n">
        <v>11101</v>
      </c>
      <c r="D11" s="11" t="n">
        <v>40297</v>
      </c>
      <c r="E11" s="5" t="n"/>
      <c r="F11" s="11" t="n">
        <v>60682</v>
      </c>
      <c r="G11" s="5" t="n"/>
    </row>
    <row r="12">
      <c r="A12" s="9" t="inlineStr">
        <is>
          <t>2024-08</t>
        </is>
      </c>
      <c r="B12" s="11" t="n">
        <v>9516</v>
      </c>
      <c r="C12" s="11" t="n">
        <v>11264</v>
      </c>
      <c r="D12" s="11" t="n">
        <v>41213</v>
      </c>
      <c r="E12" s="5" t="n"/>
      <c r="F12" s="11" t="n">
        <v>61993</v>
      </c>
      <c r="G12" s="5" t="n"/>
    </row>
    <row r="13">
      <c r="A13" s="9" t="inlineStr">
        <is>
          <t>2024-09</t>
        </is>
      </c>
      <c r="B13" s="11" t="n">
        <v>9716</v>
      </c>
      <c r="C13" s="11" t="n">
        <v>11337</v>
      </c>
      <c r="D13" s="11" t="n">
        <v>41858</v>
      </c>
      <c r="E13" s="5" t="n"/>
      <c r="F13" s="11" t="n">
        <v>62911</v>
      </c>
      <c r="G13" s="5" t="n"/>
    </row>
    <row r="14">
      <c r="A14" s="9" t="inlineStr">
        <is>
          <t>2024-10</t>
        </is>
      </c>
      <c r="B14" s="11" t="n">
        <v>10014</v>
      </c>
      <c r="C14" s="11" t="n">
        <v>11472</v>
      </c>
      <c r="D14" s="11" t="n">
        <v>43384</v>
      </c>
      <c r="E14" s="5" t="n"/>
      <c r="F14" s="11" t="n">
        <v>64870</v>
      </c>
      <c r="G14" s="5" t="n"/>
    </row>
    <row r="15">
      <c r="A15" s="9" t="inlineStr">
        <is>
          <t>2024-11</t>
        </is>
      </c>
      <c r="B15" s="11" t="n">
        <v>10582</v>
      </c>
      <c r="C15" s="11" t="n">
        <v>11472</v>
      </c>
      <c r="D15" s="11" t="n">
        <v>45071</v>
      </c>
      <c r="E15" s="5" t="n"/>
      <c r="F15" s="11" t="n">
        <v>67125</v>
      </c>
      <c r="G15" s="5" t="n"/>
    </row>
    <row r="16">
      <c r="A16" s="9" t="inlineStr">
        <is>
          <t>2024-12</t>
        </is>
      </c>
      <c r="B16" s="11" t="n">
        <v>10852</v>
      </c>
      <c r="C16" s="11" t="n">
        <v>11831</v>
      </c>
      <c r="D16" s="11" t="n">
        <v>46444</v>
      </c>
      <c r="E16" s="5" t="n"/>
      <c r="F16" s="11" t="n">
        <v>69127</v>
      </c>
      <c r="G16" s="5" t="n"/>
    </row>
    <row r="17">
      <c r="A17" s="9" t="inlineStr">
        <is>
          <t>2025-01</t>
        </is>
      </c>
      <c r="B17" s="11" t="n">
        <v>10984</v>
      </c>
      <c r="C17" s="11" t="n">
        <v>11891</v>
      </c>
      <c r="D17" s="11" t="n">
        <v>47569</v>
      </c>
      <c r="E17" s="5" t="n"/>
      <c r="F17" s="11" t="n">
        <v>70444</v>
      </c>
      <c r="G17" s="5" t="n"/>
    </row>
    <row r="18">
      <c r="A18" s="9" t="inlineStr">
        <is>
          <t>2025-02</t>
        </is>
      </c>
      <c r="B18" s="11" t="n">
        <v>11149</v>
      </c>
      <c r="C18" s="11" t="n">
        <v>12042</v>
      </c>
      <c r="D18" s="11" t="n">
        <v>48618</v>
      </c>
      <c r="E18" s="5" t="n"/>
      <c r="F18" s="11" t="n">
        <v>71809</v>
      </c>
      <c r="G18" s="5" t="n"/>
    </row>
    <row r="19">
      <c r="A19" s="9" t="inlineStr">
        <is>
          <t>2025-03</t>
        </is>
      </c>
      <c r="B19" s="11" t="n">
        <v>11236</v>
      </c>
      <c r="C19" s="11" t="n">
        <v>12087</v>
      </c>
      <c r="D19" s="11" t="n">
        <v>49184</v>
      </c>
      <c r="E19" s="5" t="n"/>
      <c r="F19" s="11" t="n">
        <v>72507</v>
      </c>
      <c r="G19" s="5" t="n"/>
    </row>
    <row r="20">
      <c r="A20" s="9" t="inlineStr">
        <is>
          <t>2025-04</t>
        </is>
      </c>
      <c r="B20" s="11" t="n">
        <v>11418</v>
      </c>
      <c r="C20" s="11" t="n">
        <v>12212</v>
      </c>
      <c r="D20" s="11" t="n">
        <v>50345</v>
      </c>
      <c r="E20" s="5" t="n"/>
      <c r="F20" s="11" t="n">
        <v>73975</v>
      </c>
      <c r="G20" s="5" t="n"/>
    </row>
    <row r="21">
      <c r="A21" s="9" t="inlineStr">
        <is>
          <t>2025-05</t>
        </is>
      </c>
      <c r="B21" s="11" t="n">
        <v>11549</v>
      </c>
      <c r="C21" s="11" t="n">
        <v>12252</v>
      </c>
      <c r="D21" s="11" t="n">
        <v>50749</v>
      </c>
      <c r="E21" s="5" t="n"/>
      <c r="F21" s="11" t="n">
        <v>74550</v>
      </c>
      <c r="G21" s="5" t="n"/>
    </row>
    <row r="22">
      <c r="A22" s="9" t="inlineStr">
        <is>
          <t>2025-06</t>
        </is>
      </c>
      <c r="B22" s="11" t="n">
        <v>11602</v>
      </c>
      <c r="C22" s="11" t="n">
        <v>12303</v>
      </c>
      <c r="D22" s="11" t="n">
        <v>51690</v>
      </c>
      <c r="E22" s="5" t="n"/>
      <c r="F22" s="11" t="n">
        <v>75595</v>
      </c>
      <c r="G22" s="5" t="n"/>
    </row>
    <row r="23">
      <c r="A23" s="9" t="inlineStr">
        <is>
          <t>2025-07</t>
        </is>
      </c>
      <c r="B23" s="11" t="n">
        <v>11679</v>
      </c>
      <c r="C23" s="11" t="n">
        <v>12333</v>
      </c>
      <c r="D23" s="11" t="n">
        <v>52665</v>
      </c>
      <c r="E23" s="5" t="n"/>
      <c r="F23" s="11" t="n">
        <v>76677</v>
      </c>
      <c r="G23" s="5" t="n"/>
    </row>
    <row r="24">
      <c r="A24" s="9" t="inlineStr">
        <is>
          <t>2025-08</t>
        </is>
      </c>
      <c r="B24" s="11" t="n">
        <v>11860</v>
      </c>
      <c r="C24" s="11" t="n">
        <v>12361</v>
      </c>
      <c r="D24" s="11" t="n">
        <v>53444</v>
      </c>
      <c r="E24" s="5" t="n"/>
      <c r="F24" s="11" t="n">
        <v>77665</v>
      </c>
      <c r="G24" s="5" t="n"/>
    </row>
    <row r="25">
      <c r="A25" s="9" t="inlineStr">
        <is>
          <t>2025-09</t>
        </is>
      </c>
      <c r="B25" s="11" t="n">
        <v>12049</v>
      </c>
      <c r="C25" s="11" t="n">
        <v>12412</v>
      </c>
      <c r="D25" s="11" t="n">
        <v>53988</v>
      </c>
      <c r="E25" s="5" t="n"/>
      <c r="F25" s="11" t="n">
        <v>78449</v>
      </c>
      <c r="G25" s="5" t="n"/>
    </row>
    <row r="26">
      <c r="A26" s="9" t="inlineStr">
        <is>
          <t>2025-10</t>
        </is>
      </c>
      <c r="B26" s="11" t="n">
        <v>12350</v>
      </c>
      <c r="C26" s="11" t="n">
        <v>12521</v>
      </c>
      <c r="D26" s="11" t="n">
        <v>54751</v>
      </c>
      <c r="E26" s="5" t="n"/>
      <c r="F26" s="11" t="n">
        <v>79622</v>
      </c>
      <c r="G26" s="5" t="n"/>
    </row>
    <row r="27">
      <c r="A27" s="9" t="inlineStr">
        <is>
          <t>2025-11</t>
        </is>
      </c>
      <c r="B27" s="11" t="n">
        <v>12510</v>
      </c>
      <c r="C27" s="11" t="n">
        <v>12669</v>
      </c>
      <c r="D27" s="11" t="n">
        <v>55139</v>
      </c>
      <c r="E27" s="5" t="n"/>
      <c r="F27" s="11" t="n">
        <v>80318</v>
      </c>
      <c r="G27" s="5" t="n"/>
    </row>
    <row r="28">
      <c r="A28" s="9" t="inlineStr">
        <is>
          <t>2025-12</t>
        </is>
      </c>
      <c r="B28" s="11" t="n">
        <v>12648</v>
      </c>
      <c r="C28" s="11" t="n">
        <v>12710</v>
      </c>
      <c r="D28" s="11" t="n">
        <v>55812</v>
      </c>
      <c r="E28" s="5" t="n"/>
      <c r="F28" s="11" t="n">
        <v>81170</v>
      </c>
      <c r="G28" s="5" t="n"/>
    </row>
    <row r="29">
      <c r="A29" s="9" t="inlineStr">
        <is>
          <t>2026-01</t>
        </is>
      </c>
      <c r="B29" s="11" t="n">
        <v>12841</v>
      </c>
      <c r="C29" s="11" t="n">
        <v>12781</v>
      </c>
      <c r="D29" s="11" t="n">
        <v>57105</v>
      </c>
      <c r="E29" s="5" t="n"/>
      <c r="F29" s="11" t="n">
        <v>82727</v>
      </c>
      <c r="G29" s="5" t="n"/>
    </row>
    <row r="30">
      <c r="A30" s="9" t="inlineStr">
        <is>
          <t>2026-02</t>
        </is>
      </c>
      <c r="B30" s="11" t="n">
        <v>12947</v>
      </c>
      <c r="C30" s="11" t="n">
        <v>12826</v>
      </c>
      <c r="D30" s="11" t="n">
        <v>57621</v>
      </c>
      <c r="E30" s="5" t="n"/>
      <c r="F30" s="11" t="n">
        <v>83394</v>
      </c>
      <c r="G30" s="5" t="inlineStr">
        <is>
          <t xml:space="preserve">No recomiendo sumar totales, ya que no es un número unico, un mismo usuario puede seguir a paracel en diferentes redes sociales. Podríamos promediar o usar el número mayor. </t>
        </is>
      </c>
    </row>
    <row r="31">
      <c r="A31" s="9" t="inlineStr">
        <is>
          <t>2026-03</t>
        </is>
      </c>
      <c r="B31" s="5" t="n"/>
      <c r="C31" s="5" t="n"/>
      <c r="D31" s="5" t="n"/>
      <c r="E31" s="5" t="n"/>
      <c r="F31" s="11" t="n">
        <v>0</v>
      </c>
      <c r="G31" s="5" t="n"/>
    </row>
    <row r="32">
      <c r="A32" s="9" t="inlineStr">
        <is>
          <t>2026-04</t>
        </is>
      </c>
      <c r="B32" s="5" t="n"/>
      <c r="C32" s="5" t="n"/>
      <c r="D32" s="5" t="n"/>
      <c r="E32" s="5" t="n"/>
      <c r="F32" s="11" t="n">
        <v>0</v>
      </c>
      <c r="G32" s="5" t="n"/>
    </row>
    <row r="33">
      <c r="A33" s="9" t="inlineStr">
        <is>
          <t>2026-05</t>
        </is>
      </c>
      <c r="B33" s="5" t="n"/>
      <c r="C33" s="5" t="n"/>
      <c r="D33" s="5" t="n"/>
      <c r="E33" s="5" t="n"/>
      <c r="F33" s="11" t="n">
        <v>0</v>
      </c>
      <c r="G33" s="5" t="n"/>
    </row>
    <row r="34">
      <c r="A34" s="9" t="inlineStr">
        <is>
          <t>2026-06</t>
        </is>
      </c>
      <c r="B34" s="5" t="n"/>
      <c r="C34" s="5" t="n"/>
      <c r="D34" s="5" t="n"/>
      <c r="E34" s="5" t="n"/>
      <c r="F34" s="11" t="n">
        <v>0</v>
      </c>
      <c r="G34" s="5" t="n"/>
    </row>
    <row r="35">
      <c r="A35" s="9" t="inlineStr">
        <is>
          <t>2026-07</t>
        </is>
      </c>
      <c r="B35" s="5" t="n"/>
      <c r="C35" s="5" t="n"/>
      <c r="D35" s="5" t="n"/>
      <c r="E35" s="5" t="n"/>
      <c r="F35" s="11" t="n">
        <v>0</v>
      </c>
      <c r="G35" s="5" t="n"/>
    </row>
    <row r="36">
      <c r="A36" s="9" t="inlineStr">
        <is>
          <t>2026-08</t>
        </is>
      </c>
      <c r="B36" s="5" t="n"/>
      <c r="C36" s="5" t="n"/>
      <c r="D36" s="5" t="n"/>
      <c r="E36" s="5" t="n"/>
      <c r="F36" s="11" t="n">
        <v>0</v>
      </c>
      <c r="G36" s="5" t="n"/>
    </row>
    <row r="37">
      <c r="A37" s="9" t="inlineStr">
        <is>
          <t>2026-09</t>
        </is>
      </c>
      <c r="B37" s="5" t="n"/>
      <c r="C37" s="5" t="n"/>
      <c r="D37" s="5" t="n"/>
      <c r="E37" s="5" t="n"/>
      <c r="F37" s="11" t="n">
        <v>0</v>
      </c>
      <c r="G37" s="5" t="n"/>
    </row>
    <row r="38">
      <c r="A38" s="9" t="inlineStr">
        <is>
          <t>2026-10</t>
        </is>
      </c>
      <c r="B38" s="5" t="n"/>
      <c r="C38" s="5" t="n"/>
      <c r="D38" s="5" t="n"/>
      <c r="E38" s="5" t="n"/>
      <c r="F38" s="11" t="n">
        <v>0</v>
      </c>
      <c r="G38" s="5" t="n"/>
    </row>
    <row r="39">
      <c r="A39" s="9" t="inlineStr">
        <is>
          <t>2026-11</t>
        </is>
      </c>
      <c r="B39" s="5" t="n"/>
      <c r="C39" s="5" t="n"/>
      <c r="D39" s="5" t="n"/>
      <c r="E39" s="5" t="n"/>
      <c r="F39" s="11" t="n">
        <v>0</v>
      </c>
      <c r="G39" s="5" t="n"/>
    </row>
    <row r="40">
      <c r="A40" s="9" t="inlineStr">
        <is>
          <t>2026-12</t>
        </is>
      </c>
      <c r="B40" s="5" t="n"/>
      <c r="C40" s="5" t="n"/>
      <c r="D40" s="5" t="n"/>
      <c r="E40" s="5" t="n"/>
      <c r="F40" s="11" t="n">
        <v>0</v>
      </c>
      <c r="G40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</cols>
  <sheetData>
    <row r="1" ht="26" customHeight="1">
      <c r="A1" s="1" t="inlineStr">
        <is>
          <t>DET_SOCIAL_WEB</t>
        </is>
      </c>
    </row>
    <row r="4">
      <c r="A4" s="8" t="inlineStr">
        <is>
          <t>period_key</t>
        </is>
      </c>
      <c r="B4" s="8" t="inlineStr">
        <is>
          <t>visitas_totales</t>
        </is>
      </c>
      <c r="C4" s="8" t="inlineStr">
        <is>
          <t>visitas_unicas</t>
        </is>
      </c>
      <c r="D4" s="8" t="inlineStr">
        <is>
          <t>observation</t>
        </is>
      </c>
    </row>
    <row r="5">
      <c r="A5" s="9" t="inlineStr">
        <is>
          <t>2024-01</t>
        </is>
      </c>
      <c r="B5" s="11" t="n">
        <v>11407</v>
      </c>
      <c r="C5" s="11" t="n">
        <v>3490</v>
      </c>
      <c r="D5" s="5" t="n"/>
    </row>
    <row r="6">
      <c r="A6" s="9" t="inlineStr">
        <is>
          <t>2024-02</t>
        </is>
      </c>
      <c r="B6" s="11" t="n">
        <v>12052</v>
      </c>
      <c r="C6" s="11" t="n">
        <v>4087</v>
      </c>
      <c r="D6" s="5" t="n"/>
    </row>
    <row r="7">
      <c r="A7" s="9" t="inlineStr">
        <is>
          <t>2024-03</t>
        </is>
      </c>
      <c r="B7" s="11" t="n">
        <v>11730</v>
      </c>
      <c r="C7" s="11" t="n">
        <v>3876</v>
      </c>
      <c r="D7" s="5" t="n"/>
    </row>
    <row r="8">
      <c r="A8" s="9" t="inlineStr">
        <is>
          <t>2024-04</t>
        </is>
      </c>
      <c r="B8" s="11" t="n">
        <v>18639</v>
      </c>
      <c r="C8" s="11" t="n">
        <v>5947</v>
      </c>
      <c r="D8" s="5" t="n"/>
    </row>
    <row r="9">
      <c r="A9" s="9" t="inlineStr">
        <is>
          <t>2024-05</t>
        </is>
      </c>
      <c r="B9" s="11" t="n">
        <v>12594</v>
      </c>
      <c r="C9" s="11" t="n">
        <v>4289</v>
      </c>
      <c r="D9" s="5" t="n"/>
    </row>
    <row r="10">
      <c r="A10" s="9" t="inlineStr">
        <is>
          <t>2024-06</t>
        </is>
      </c>
      <c r="B10" s="11" t="n">
        <v>14591</v>
      </c>
      <c r="C10" s="11" t="n">
        <v>4743</v>
      </c>
      <c r="D10" s="5" t="n"/>
    </row>
    <row r="11">
      <c r="A11" s="9" t="inlineStr">
        <is>
          <t>2024-07</t>
        </is>
      </c>
      <c r="B11" s="11" t="n">
        <v>18424</v>
      </c>
      <c r="C11" s="11" t="n">
        <v>7171</v>
      </c>
      <c r="D11" s="5" t="n"/>
    </row>
    <row r="12">
      <c r="A12" s="9" t="inlineStr">
        <is>
          <t>2024-08</t>
        </is>
      </c>
      <c r="B12" s="11" t="n">
        <v>17516</v>
      </c>
      <c r="C12" s="11" t="n">
        <v>7931</v>
      </c>
      <c r="D12" s="5" t="n"/>
    </row>
    <row r="13">
      <c r="A13" s="9" t="inlineStr">
        <is>
          <t>2024-09</t>
        </is>
      </c>
      <c r="B13" s="11" t="n">
        <v>12947</v>
      </c>
      <c r="C13" s="11" t="n">
        <v>5502</v>
      </c>
      <c r="D13" s="5" t="n"/>
    </row>
    <row r="14">
      <c r="A14" s="9" t="inlineStr">
        <is>
          <t>2024-10</t>
        </is>
      </c>
      <c r="B14" s="11" t="n">
        <v>17304</v>
      </c>
      <c r="C14" s="11" t="n">
        <v>6652</v>
      </c>
      <c r="D14" s="5" t="n"/>
    </row>
    <row r="15">
      <c r="A15" s="9" t="inlineStr">
        <is>
          <t>2024-11</t>
        </is>
      </c>
      <c r="B15" s="11" t="n">
        <v>17686</v>
      </c>
      <c r="C15" s="11" t="n">
        <v>6681</v>
      </c>
      <c r="D15" s="5" t="n"/>
    </row>
    <row r="16">
      <c r="A16" s="9" t="inlineStr">
        <is>
          <t>2024-12</t>
        </is>
      </c>
      <c r="B16" s="11" t="n">
        <v>13293</v>
      </c>
      <c r="C16" s="11" t="n">
        <v>5339</v>
      </c>
      <c r="D16" s="5" t="n"/>
    </row>
    <row r="17">
      <c r="A17" s="9" t="inlineStr">
        <is>
          <t>2025-01</t>
        </is>
      </c>
      <c r="B17" s="11" t="n">
        <v>15267</v>
      </c>
      <c r="C17" s="11" t="n">
        <v>6322</v>
      </c>
      <c r="D17" s="5" t="n"/>
    </row>
    <row r="18">
      <c r="A18" s="9" t="inlineStr">
        <is>
          <t>2025-02</t>
        </is>
      </c>
      <c r="B18" s="11" t="n">
        <v>8830</v>
      </c>
      <c r="C18" s="11" t="n">
        <v>4746</v>
      </c>
      <c r="D18" s="5" t="n"/>
    </row>
    <row r="19">
      <c r="A19" s="9" t="inlineStr">
        <is>
          <t>2025-03</t>
        </is>
      </c>
      <c r="B19" s="11" t="n">
        <v>8142</v>
      </c>
      <c r="C19" s="11" t="n">
        <v>4270</v>
      </c>
      <c r="D19" s="5" t="n"/>
    </row>
    <row r="20">
      <c r="A20" s="9" t="inlineStr">
        <is>
          <t>2025-04</t>
        </is>
      </c>
      <c r="B20" s="11" t="n">
        <v>10046</v>
      </c>
      <c r="C20" s="11" t="n">
        <v>5874</v>
      </c>
      <c r="D20" s="5" t="n"/>
    </row>
    <row r="21">
      <c r="A21" s="9" t="inlineStr">
        <is>
          <t>2025-05</t>
        </is>
      </c>
      <c r="B21" s="11" t="n">
        <v>4228</v>
      </c>
      <c r="C21" s="11" t="n">
        <v>2388</v>
      </c>
      <c r="D21" s="5" t="n"/>
    </row>
    <row r="22">
      <c r="A22" s="9" t="inlineStr">
        <is>
          <t>2025-06</t>
        </is>
      </c>
      <c r="B22" s="11" t="n">
        <v>11667</v>
      </c>
      <c r="C22" s="11" t="n">
        <v>4650</v>
      </c>
      <c r="D22" s="5" t="n"/>
    </row>
    <row r="23">
      <c r="A23" s="9" t="inlineStr">
        <is>
          <t>2025-07</t>
        </is>
      </c>
      <c r="B23" s="11" t="n">
        <v>11459</v>
      </c>
      <c r="C23" s="11" t="n">
        <v>4282</v>
      </c>
      <c r="D23" s="5" t="n"/>
    </row>
    <row r="24">
      <c r="A24" s="9" t="inlineStr">
        <is>
          <t>2025-08</t>
        </is>
      </c>
      <c r="B24" s="11" t="n">
        <v>11488</v>
      </c>
      <c r="C24" s="11" t="n">
        <v>4515</v>
      </c>
      <c r="D24" s="5" t="n"/>
    </row>
    <row r="25">
      <c r="A25" s="9" t="inlineStr">
        <is>
          <t>2025-09</t>
        </is>
      </c>
      <c r="B25" s="11" t="n">
        <v>10365</v>
      </c>
      <c r="C25" s="11" t="n">
        <v>4112</v>
      </c>
      <c r="D25" s="5" t="n"/>
    </row>
    <row r="26">
      <c r="A26" s="9" t="inlineStr">
        <is>
          <t>2025-10</t>
        </is>
      </c>
      <c r="B26" s="11" t="n">
        <v>12467</v>
      </c>
      <c r="C26" s="11" t="n">
        <v>5435</v>
      </c>
      <c r="D26" s="5" t="n"/>
    </row>
    <row r="27">
      <c r="A27" s="9" t="inlineStr">
        <is>
          <t>2025-11</t>
        </is>
      </c>
      <c r="B27" s="11" t="n">
        <v>10713</v>
      </c>
      <c r="C27" s="11" t="n">
        <v>5106</v>
      </c>
      <c r="D27" s="5" t="n"/>
    </row>
    <row r="28">
      <c r="A28" s="9" t="inlineStr">
        <is>
          <t>2025-12</t>
        </is>
      </c>
      <c r="B28" s="11" t="n">
        <v>10274</v>
      </c>
      <c r="C28" s="11" t="n">
        <v>4752</v>
      </c>
      <c r="D28" s="5" t="n"/>
    </row>
    <row r="29">
      <c r="A29" s="9" t="inlineStr">
        <is>
          <t>2026-01</t>
        </is>
      </c>
      <c r="B29" s="11" t="n">
        <v>11709</v>
      </c>
      <c r="C29" s="11" t="n">
        <v>5255</v>
      </c>
      <c r="D29" s="5" t="n"/>
    </row>
    <row r="30">
      <c r="A30" s="9" t="inlineStr">
        <is>
          <t>2026-02</t>
        </is>
      </c>
      <c r="B30" s="11" t="n">
        <v>11175</v>
      </c>
      <c r="C30" s="11" t="n">
        <v>4700</v>
      </c>
      <c r="D30" s="5" t="n"/>
    </row>
    <row r="31">
      <c r="A31" s="9" t="inlineStr">
        <is>
          <t>2026-03</t>
        </is>
      </c>
      <c r="B31" s="5" t="n"/>
      <c r="C31" s="5" t="n"/>
      <c r="D31" s="5" t="n"/>
    </row>
    <row r="32">
      <c r="A32" s="9" t="inlineStr">
        <is>
          <t>2026-04</t>
        </is>
      </c>
      <c r="B32" s="5" t="n"/>
      <c r="C32" s="5" t="n"/>
      <c r="D32" s="5" t="n"/>
    </row>
    <row r="33">
      <c r="A33" s="9" t="inlineStr">
        <is>
          <t>2026-05</t>
        </is>
      </c>
      <c r="B33" s="5" t="n"/>
      <c r="C33" s="5" t="n"/>
      <c r="D33" s="5" t="n"/>
    </row>
    <row r="34">
      <c r="A34" s="9" t="inlineStr">
        <is>
          <t>2026-06</t>
        </is>
      </c>
      <c r="B34" s="5" t="n"/>
      <c r="C34" s="5" t="n"/>
      <c r="D34" s="5" t="n"/>
    </row>
    <row r="35">
      <c r="A35" s="9" t="inlineStr">
        <is>
          <t>2026-07</t>
        </is>
      </c>
      <c r="B35" s="5" t="n"/>
      <c r="C35" s="5" t="n"/>
      <c r="D35" s="5" t="n"/>
    </row>
    <row r="36">
      <c r="A36" s="9" t="inlineStr">
        <is>
          <t>2026-08</t>
        </is>
      </c>
      <c r="B36" s="5" t="n"/>
      <c r="C36" s="5" t="n"/>
      <c r="D36" s="5" t="n"/>
    </row>
    <row r="37">
      <c r="A37" s="9" t="inlineStr">
        <is>
          <t>2026-09</t>
        </is>
      </c>
      <c r="B37" s="5" t="n"/>
      <c r="C37" s="5" t="n"/>
      <c r="D37" s="5" t="n"/>
    </row>
    <row r="38">
      <c r="A38" s="9" t="inlineStr">
        <is>
          <t>2026-10</t>
        </is>
      </c>
      <c r="B38" s="5" t="n"/>
      <c r="C38" s="5" t="n"/>
      <c r="D38" s="5" t="n"/>
    </row>
    <row r="39">
      <c r="A39" s="9" t="inlineStr">
        <is>
          <t>2026-11</t>
        </is>
      </c>
      <c r="B39" s="5" t="n"/>
      <c r="C39" s="5" t="n"/>
      <c r="D39" s="5" t="n"/>
    </row>
    <row r="40">
      <c r="A40" s="9" t="inlineStr">
        <is>
          <t>2026-12</t>
        </is>
      </c>
      <c r="B40" s="5" t="n"/>
      <c r="C40" s="5" t="n"/>
      <c r="D40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8" customWidth="1" min="2" max="2"/>
    <col width="16" customWidth="1" min="3" max="3"/>
    <col width="16" customWidth="1" min="4" max="4"/>
    <col width="18" customWidth="1" min="5" max="5"/>
  </cols>
  <sheetData>
    <row r="1" ht="26" customHeight="1">
      <c r="A1" s="1" t="inlineStr">
        <is>
          <t>DET_SOCIAL_PROGRAMAS</t>
        </is>
      </c>
    </row>
    <row r="4">
      <c r="A4" s="8" t="inlineStr">
        <is>
          <t>period_key</t>
        </is>
      </c>
      <c r="B4" s="8" t="inlineStr">
        <is>
          <t>program_group</t>
        </is>
      </c>
      <c r="C4" s="8" t="inlineStr">
        <is>
          <t>initiative</t>
        </is>
      </c>
      <c r="D4" s="8" t="inlineStr">
        <is>
          <t>beneficiaries_n</t>
        </is>
      </c>
      <c r="E4" s="8" t="inlineStr">
        <is>
          <t>observation</t>
        </is>
      </c>
    </row>
    <row r="5">
      <c r="A5" s="9" t="inlineStr">
        <is>
          <t>2025-12</t>
        </is>
      </c>
      <c r="B5" s="5" t="inlineStr">
        <is>
          <t>Salud y seguridad comunitaria</t>
        </is>
      </c>
      <c r="C5" s="5" t="inlineStr">
        <is>
          <t>Asistencia Médica</t>
        </is>
      </c>
      <c r="D5" s="11" t="n">
        <v>3087</v>
      </c>
      <c r="E5" s="5" t="inlineStr">
        <is>
          <t>Acumulado anual 2025</t>
        </is>
      </c>
    </row>
    <row r="6">
      <c r="A6" s="9" t="inlineStr">
        <is>
          <t>2025-12</t>
        </is>
      </c>
      <c r="B6" s="5" t="inlineStr">
        <is>
          <t>Salud y seguridad comunitaria</t>
        </is>
      </c>
      <c r="C6" s="5" t="inlineStr">
        <is>
          <t>Inmunizaciones (PAI)</t>
        </is>
      </c>
      <c r="D6" s="11" t="n">
        <v>5007</v>
      </c>
      <c r="E6" s="5" t="inlineStr">
        <is>
          <t>Acumulado anual 2025</t>
        </is>
      </c>
    </row>
    <row r="7">
      <c r="A7" s="9" t="inlineStr">
        <is>
          <t>2025-12</t>
        </is>
      </c>
      <c r="B7" s="5" t="inlineStr">
        <is>
          <t>Salud y seguridad comunitaria</t>
        </is>
      </c>
      <c r="C7" s="5" t="inlineStr">
        <is>
          <t>Entrega de Leche fortificada (PANI)</t>
        </is>
      </c>
      <c r="D7" s="11" t="n">
        <v>5105</v>
      </c>
      <c r="E7" s="5" t="inlineStr">
        <is>
          <t>Acumulado anual 2025</t>
        </is>
      </c>
    </row>
    <row r="8">
      <c r="A8" s="9" t="inlineStr">
        <is>
          <t>2025-12</t>
        </is>
      </c>
      <c r="B8" s="5" t="inlineStr">
        <is>
          <t>Salud y seguridad comunitaria</t>
        </is>
      </c>
      <c r="C8" s="5" t="inlineStr">
        <is>
          <t>Capacitación en Salud Sexual y Reproductiva</t>
        </is>
      </c>
      <c r="D8" s="11" t="n">
        <v>672</v>
      </c>
      <c r="E8" s="5" t="inlineStr">
        <is>
          <t>Acumulado anual 2025</t>
        </is>
      </c>
    </row>
    <row r="9">
      <c r="A9" s="9" t="inlineStr">
        <is>
          <t>2025-12</t>
        </is>
      </c>
      <c r="B9" s="5" t="inlineStr">
        <is>
          <t>Relacionamiento e inversión social</t>
        </is>
      </c>
      <c r="C9" s="5" t="inlineStr">
        <is>
          <t>Acceso a agua por primera vez</t>
        </is>
      </c>
      <c r="D9" s="11" t="n">
        <v>409</v>
      </c>
      <c r="E9" s="5" t="inlineStr">
        <is>
          <t>Acumulado anual 2025</t>
        </is>
      </c>
    </row>
    <row r="10">
      <c r="A10" s="9" t="inlineStr">
        <is>
          <t>2025-12</t>
        </is>
      </c>
      <c r="B10" s="5" t="inlineStr">
        <is>
          <t>Relacionamiento e inversión social</t>
        </is>
      </c>
      <c r="C10" s="5" t="inlineStr">
        <is>
          <t>Mejoramiento de infraestructura escolar</t>
        </is>
      </c>
      <c r="D10" s="11" t="n">
        <v>404</v>
      </c>
      <c r="E10" s="5" t="inlineStr">
        <is>
          <t>Acumulado anual 2025</t>
        </is>
      </c>
    </row>
    <row r="11">
      <c r="A11" s="9" t="inlineStr">
        <is>
          <t>2025-12</t>
        </is>
      </c>
      <c r="B11" s="5" t="inlineStr">
        <is>
          <t>Relacionamiento e inversión social</t>
        </is>
      </c>
      <c r="C11" s="5" t="inlineStr">
        <is>
          <t>Acceso a energía eléctrica.</t>
        </is>
      </c>
      <c r="D11" s="11" t="n">
        <v>246</v>
      </c>
      <c r="E11" s="5" t="inlineStr">
        <is>
          <t>Acumulado anual 2025</t>
        </is>
      </c>
    </row>
    <row r="12">
      <c r="A12" s="9" t="inlineStr">
        <is>
          <t>2026-01</t>
        </is>
      </c>
      <c r="B12" s="5" t="inlineStr">
        <is>
          <t>Desarrollo de competencias y mano de obra local</t>
        </is>
      </c>
      <c r="C12" s="5" t="inlineStr">
        <is>
          <t>Agricultura (Tn de alimentos cosechados)</t>
        </is>
      </c>
      <c r="D12" s="11" t="n">
        <v>261</v>
      </c>
      <c r="E12" s="5" t="inlineStr">
        <is>
          <t>Acumulado a enero 2026</t>
        </is>
      </c>
    </row>
    <row r="13">
      <c r="A13" s="9" t="inlineStr">
        <is>
          <t>2026-01</t>
        </is>
      </c>
      <c r="B13" s="5" t="inlineStr">
        <is>
          <t>Desarrollo de competencias y mano de obra local</t>
        </is>
      </c>
      <c r="C13" s="5" t="inlineStr">
        <is>
          <t>Apicultura (litros de miel cosechada)</t>
        </is>
      </c>
      <c r="D13" s="11" t="n">
        <v>41</v>
      </c>
      <c r="E13" s="5" t="inlineStr">
        <is>
          <t>Acumulado a enero 2026</t>
        </is>
      </c>
    </row>
    <row r="14">
      <c r="A14" s="9" t="inlineStr">
        <is>
          <t>2026-01</t>
        </is>
      </c>
      <c r="B14" s="5" t="inlineStr">
        <is>
          <t>Desarrollo de competencias y mano de obra local</t>
        </is>
      </c>
      <c r="C14" s="5" t="inlineStr">
        <is>
          <t>Avicultura (aves y producción de pollitos en incubadoras)</t>
        </is>
      </c>
      <c r="D14" s="11" t="n">
        <v>93</v>
      </c>
      <c r="E14" s="5" t="inlineStr">
        <is>
          <t>Acumulado a enero 2026</t>
        </is>
      </c>
    </row>
    <row r="15">
      <c r="A15" s="9" t="inlineStr">
        <is>
          <t>2026-01</t>
        </is>
      </c>
      <c r="B15" s="5" t="inlineStr">
        <is>
          <t>Desarrollo de competencias y mano de obra local</t>
        </is>
      </c>
      <c r="C15" s="5" t="inlineStr">
        <is>
          <t>Pequeña ganadería (Pastura sembrada y kit de sanitación para animales mayores)</t>
        </is>
      </c>
      <c r="D15" s="11" t="n">
        <v>88</v>
      </c>
      <c r="E15" s="5" t="inlineStr">
        <is>
          <t>Acumulado a enero 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KPIS_MENSUALES</t>
        </is>
      </c>
    </row>
    <row r="3">
      <c r="A3" s="14" t="inlineStr">
        <is>
          <t>Período de consulta</t>
        </is>
      </c>
      <c r="B3" s="15" t="inlineStr">
        <is>
          <t>2026-02</t>
        </is>
      </c>
    </row>
    <row r="5">
      <c r="A5" s="6" t="inlineStr">
        <is>
          <t>Indicador</t>
        </is>
      </c>
      <c r="B5" s="6" t="inlineStr">
        <is>
          <t>Valor</t>
        </is>
      </c>
      <c r="C5" s="6" t="inlineStr">
        <is>
          <t>Formato</t>
        </is>
      </c>
    </row>
    <row r="6">
      <c r="A6" s="5" t="inlineStr">
        <is>
          <t>Total seguidores</t>
        </is>
      </c>
      <c r="B6" s="16">
        <f>IFERROR(INDEX(DET_SOCIAL_REDES!$F:$F,MATCH($B$3,DET_SOCIAL_REDES!$A:$A,0)),0)</f>
        <v/>
      </c>
      <c r="C6" s="5" t="inlineStr">
        <is>
          <t>#,##0</t>
        </is>
      </c>
    </row>
    <row r="7">
      <c r="A7" s="5" t="inlineStr">
        <is>
          <t>Visitas web</t>
        </is>
      </c>
      <c r="B7" s="16">
        <f>IFERROR(INDEX(DET_SOCIAL_WEB!$B:$B,MATCH($B$3,DET_SOCIAL_WEB!$A:$A,0)),0)</f>
        <v/>
      </c>
      <c r="C7" s="5" t="inlineStr">
        <is>
          <t>#,##0</t>
        </is>
      </c>
    </row>
    <row r="8">
      <c r="A8" s="5" t="inlineStr">
        <is>
          <t>Plantación del mes (ha)</t>
        </is>
      </c>
      <c r="B8" s="17">
        <f>SUMIFS(DET_FORESTAL_OPER!$F:$F,DET_FORESTAL_OPER!$A:$A,$B$3,DET_FORESTAL_OPER!$B:$B,"plantacion_ha")</f>
        <v/>
      </c>
      <c r="C8" s="5" t="inlineStr">
        <is>
          <t>#,##0.00</t>
        </is>
      </c>
    </row>
    <row r="9">
      <c r="A9" s="5" t="inlineStr">
        <is>
          <t>Plantación acumulada (ha)</t>
        </is>
      </c>
      <c r="B9" s="17">
        <f>SUMIFS(DET_FORESTAL_OPER!$G:$G,DET_FORESTAL_OPER!$A:$A,$B$3,DET_FORESTAL_OPER!$B:$B,"plantacion_ha")</f>
        <v/>
      </c>
      <c r="C9" s="5" t="inlineStr">
        <is>
          <t>#,##0.00</t>
        </is>
      </c>
    </row>
    <row r="10">
      <c r="A10" s="5" t="inlineStr">
        <is>
          <t>Descuento general (%)</t>
        </is>
      </c>
      <c r="B10" s="18">
        <f>SUMIFS(DET_COMPRAS!$E:$E,DET_COMPRAS!$A:$A,$B$3,DET_COMPRAS!$C:$C,"descuento_general_pct")/100</f>
        <v/>
      </c>
      <c r="C10" s="5" t="inlineStr">
        <is>
          <t>0.00</t>
        </is>
      </c>
    </row>
    <row r="11">
      <c r="A11" s="5" t="inlineStr">
        <is>
          <t>OPEX + CAPEX B26 YTD</t>
        </is>
      </c>
      <c r="B11" s="16">
        <f>SUMIFS(DET_FINANZAS_PRESUPUESTO!$D:$D,DET_FINANZAS_PRESUPUESTO!$A:$A,$B$3,DET_FINANZAS_PRESUPUESTO!$B:$B,"opex_capex_b26_ytd")</f>
        <v/>
      </c>
      <c r="C11" s="5" t="inlineStr">
        <is>
          <t>#,##0</t>
        </is>
      </c>
    </row>
    <row r="12">
      <c r="A12" s="5" t="inlineStr">
        <is>
          <t>Cumplimiento ambiental promedio</t>
        </is>
      </c>
      <c r="B12" s="30">
        <f>IFERROR(AVERAGEIFS(DET_AMBIENTAL!$E:$E,DET_AMBIENTAL!$A:$A,$B$3),0)</f>
        <v/>
      </c>
      <c r="C12" s="5" t="inlineStr">
        <is>
          <t>0.0%</t>
        </is>
      </c>
    </row>
    <row r="13">
      <c r="A13" s="5" t="inlineStr">
        <is>
          <t>Tasa accidentes industrial</t>
        </is>
      </c>
      <c r="B13" s="18">
        <f>SUMIFS(DET_SSL!$J:$J,DET_SSL!$A:$A,$B$3,DET_SSL!$B:$B,"ssl_industrial")</f>
        <v/>
      </c>
      <c r="C13" s="5" t="inlineStr">
        <is>
          <t>0.00</t>
        </is>
      </c>
    </row>
    <row r="14">
      <c r="A14" s="5" t="inlineStr">
        <is>
          <t>Tasa accidentes forestal</t>
        </is>
      </c>
      <c r="B14" s="18">
        <f>SUMIFS(DET_SSL!$J:$J,DET_SSL!$A:$A,$B$3,DET_SSL!$B:$B,"ssl_forestal")</f>
        <v/>
      </c>
      <c r="C14" s="5" t="inlineStr">
        <is>
          <t>0.00</t>
        </is>
      </c>
    </row>
    <row r="15">
      <c r="A15" s="5" t="inlineStr">
        <is>
          <t>% formularios enviados</t>
        </is>
      </c>
      <c r="B15" s="30">
        <f>IFERROR(COUNTIFS(ENVIOS!$B:$B,$B$3,ENVIOS!$D:$D,"Enviado")/COUNTIF(ENVIOS!$B:$B,$B$3),0)</f>
        <v/>
      </c>
      <c r="C15" s="5" t="inlineStr">
        <is>
          <t>0.0%</t>
        </is>
      </c>
    </row>
    <row r="20">
      <c r="A20" s="6" t="inlineStr">
        <is>
          <t>Periodo</t>
        </is>
      </c>
      <c r="B20" s="6" t="inlineStr">
        <is>
          <t>Seguidores</t>
        </is>
      </c>
      <c r="C20" s="6" t="inlineStr">
        <is>
          <t>Visitas</t>
        </is>
      </c>
      <c r="D20" s="6" t="inlineStr">
        <is>
          <t>Plantación YTD</t>
        </is>
      </c>
      <c r="E20" s="6" t="inlineStr">
        <is>
          <t>Cumplimiento Ambiental</t>
        </is>
      </c>
      <c r="F20" s="6" t="inlineStr">
        <is>
          <t>Descuento General %</t>
        </is>
      </c>
    </row>
    <row r="21">
      <c r="A21" s="5" t="inlineStr">
        <is>
          <t>2024-01</t>
        </is>
      </c>
      <c r="B21" s="5" t="n">
        <v>52898</v>
      </c>
      <c r="C21" s="5" t="n">
        <v>11407</v>
      </c>
      <c r="D21" s="5" t="n"/>
      <c r="E21" s="29" t="n"/>
      <c r="F21" s="29" t="n"/>
    </row>
    <row r="22">
      <c r="A22" s="5" t="inlineStr">
        <is>
          <t>2024-02</t>
        </is>
      </c>
      <c r="B22" s="5" t="n">
        <v>53686</v>
      </c>
      <c r="C22" s="5" t="n">
        <v>12052</v>
      </c>
      <c r="D22" s="5" t="n"/>
      <c r="E22" s="29" t="n"/>
      <c r="F22" s="29" t="n"/>
    </row>
    <row r="23">
      <c r="A23" s="5" t="inlineStr">
        <is>
          <t>2024-03</t>
        </is>
      </c>
      <c r="B23" s="5" t="n">
        <v>54259</v>
      </c>
      <c r="C23" s="5" t="n">
        <v>11730</v>
      </c>
      <c r="D23" s="5" t="n"/>
      <c r="E23" s="29" t="n"/>
      <c r="F23" s="29" t="n"/>
    </row>
    <row r="24">
      <c r="A24" s="5" t="inlineStr">
        <is>
          <t>2024-04</t>
        </is>
      </c>
      <c r="B24" s="5" t="n">
        <v>55516</v>
      </c>
      <c r="C24" s="5" t="n">
        <v>18639</v>
      </c>
      <c r="D24" s="5" t="n"/>
      <c r="E24" s="29" t="n"/>
      <c r="F24" s="29" t="n"/>
    </row>
    <row r="25">
      <c r="A25" s="5" t="inlineStr">
        <is>
          <t>2024-05</t>
        </is>
      </c>
      <c r="B25" s="5" t="n">
        <v>57060</v>
      </c>
      <c r="C25" s="5" t="n">
        <v>12594</v>
      </c>
      <c r="D25" s="5" t="n"/>
      <c r="E25" s="29" t="n"/>
      <c r="F25" s="29" t="n"/>
    </row>
    <row r="26">
      <c r="A26" s="5" t="inlineStr">
        <is>
          <t>2024-06</t>
        </is>
      </c>
      <c r="B26" s="5" t="n">
        <v>59312</v>
      </c>
      <c r="C26" s="5" t="n">
        <v>14591</v>
      </c>
      <c r="D26" s="5" t="n"/>
      <c r="E26" s="29" t="n"/>
      <c r="F26" s="29" t="n"/>
    </row>
    <row r="27">
      <c r="A27" s="5" t="inlineStr">
        <is>
          <t>2024-07</t>
        </is>
      </c>
      <c r="B27" s="5" t="n">
        <v>60682</v>
      </c>
      <c r="C27" s="5" t="n">
        <v>18424</v>
      </c>
      <c r="D27" s="5" t="n"/>
      <c r="E27" s="29" t="n"/>
      <c r="F27" s="29" t="n"/>
    </row>
    <row r="28">
      <c r="A28" s="5" t="inlineStr">
        <is>
          <t>2024-08</t>
        </is>
      </c>
      <c r="B28" s="5" t="n">
        <v>61993</v>
      </c>
      <c r="C28" s="5" t="n">
        <v>17516</v>
      </c>
      <c r="D28" s="5" t="n"/>
      <c r="E28" s="29" t="n"/>
      <c r="F28" s="29" t="n"/>
    </row>
    <row r="29">
      <c r="A29" s="5" t="inlineStr">
        <is>
          <t>2024-09</t>
        </is>
      </c>
      <c r="B29" s="5" t="n">
        <v>62911</v>
      </c>
      <c r="C29" s="5" t="n">
        <v>12947</v>
      </c>
      <c r="D29" s="5" t="n"/>
      <c r="E29" s="29" t="n"/>
      <c r="F29" s="29" t="n"/>
    </row>
    <row r="30">
      <c r="A30" s="5" t="inlineStr">
        <is>
          <t>2024-10</t>
        </is>
      </c>
      <c r="B30" s="5" t="n">
        <v>64870</v>
      </c>
      <c r="C30" s="5" t="n">
        <v>17304</v>
      </c>
      <c r="D30" s="5" t="n"/>
      <c r="E30" s="29" t="n"/>
      <c r="F30" s="29" t="n"/>
    </row>
    <row r="31">
      <c r="A31" s="5" t="inlineStr">
        <is>
          <t>2024-11</t>
        </is>
      </c>
      <c r="B31" s="5" t="n">
        <v>67125</v>
      </c>
      <c r="C31" s="5" t="n">
        <v>17686</v>
      </c>
      <c r="D31" s="5" t="n"/>
      <c r="E31" s="29" t="n"/>
      <c r="F31" s="29" t="n"/>
    </row>
    <row r="32">
      <c r="A32" s="5" t="inlineStr">
        <is>
          <t>2024-12</t>
        </is>
      </c>
      <c r="B32" s="5" t="n">
        <v>69127</v>
      </c>
      <c r="C32" s="5" t="n">
        <v>13293</v>
      </c>
      <c r="D32" s="5" t="n"/>
      <c r="E32" s="29" t="n"/>
      <c r="F32" s="29" t="n"/>
    </row>
    <row r="33">
      <c r="A33" s="5" t="inlineStr">
        <is>
          <t>2025-01</t>
        </is>
      </c>
      <c r="B33" s="5" t="n">
        <v>70444</v>
      </c>
      <c r="C33" s="5" t="n">
        <v>15267</v>
      </c>
      <c r="D33" s="5" t="n"/>
      <c r="E33" s="29" t="n"/>
      <c r="F33" s="29" t="n"/>
    </row>
    <row r="34">
      <c r="A34" s="5" t="inlineStr">
        <is>
          <t>2025-02</t>
        </is>
      </c>
      <c r="B34" s="5" t="n">
        <v>71809</v>
      </c>
      <c r="C34" s="5" t="n">
        <v>8830</v>
      </c>
      <c r="D34" s="5" t="n"/>
      <c r="E34" s="29" t="n"/>
      <c r="F34" s="29" t="n"/>
    </row>
    <row r="35">
      <c r="A35" s="5" t="inlineStr">
        <is>
          <t>2025-03</t>
        </is>
      </c>
      <c r="B35" s="5" t="n">
        <v>72507</v>
      </c>
      <c r="C35" s="5" t="n">
        <v>8142</v>
      </c>
      <c r="D35" s="5" t="n"/>
      <c r="E35" s="29" t="n"/>
      <c r="F35" s="29" t="n"/>
    </row>
    <row r="36">
      <c r="A36" s="5" t="inlineStr">
        <is>
          <t>2025-04</t>
        </is>
      </c>
      <c r="B36" s="5" t="n">
        <v>73975</v>
      </c>
      <c r="C36" s="5" t="n">
        <v>10046</v>
      </c>
      <c r="D36" s="5" t="n"/>
      <c r="E36" s="29" t="n"/>
      <c r="F36" s="29" t="n"/>
    </row>
    <row r="37">
      <c r="A37" s="5" t="inlineStr">
        <is>
          <t>2025-05</t>
        </is>
      </c>
      <c r="B37" s="5" t="n">
        <v>74550</v>
      </c>
      <c r="C37" s="5" t="n">
        <v>4228</v>
      </c>
      <c r="D37" s="5" t="n"/>
      <c r="E37" s="29" t="n"/>
      <c r="F37" s="29" t="n"/>
    </row>
    <row r="38">
      <c r="A38" s="5" t="inlineStr">
        <is>
          <t>2025-06</t>
        </is>
      </c>
      <c r="B38" s="5" t="n">
        <v>75595</v>
      </c>
      <c r="C38" s="5" t="n">
        <v>11667</v>
      </c>
      <c r="D38" s="5" t="n"/>
      <c r="E38" s="29" t="n"/>
      <c r="F38" s="29" t="n"/>
    </row>
    <row r="39">
      <c r="A39" s="5" t="inlineStr">
        <is>
          <t>2025-07</t>
        </is>
      </c>
      <c r="B39" s="5" t="n">
        <v>76677</v>
      </c>
      <c r="C39" s="5" t="n">
        <v>11459</v>
      </c>
      <c r="D39" s="5" t="n"/>
      <c r="E39" s="29" t="n"/>
      <c r="F39" s="29" t="n"/>
    </row>
    <row r="40">
      <c r="A40" s="5" t="inlineStr">
        <is>
          <t>2025-08</t>
        </is>
      </c>
      <c r="B40" s="5" t="n">
        <v>77665</v>
      </c>
      <c r="C40" s="5" t="n">
        <v>11488</v>
      </c>
      <c r="D40" s="5" t="n"/>
      <c r="E40" s="29" t="n"/>
      <c r="F40" s="29" t="n"/>
    </row>
    <row r="41">
      <c r="A41" s="5" t="inlineStr">
        <is>
          <t>2025-09</t>
        </is>
      </c>
      <c r="B41" s="5" t="n">
        <v>78449</v>
      </c>
      <c r="C41" s="5" t="n">
        <v>10365</v>
      </c>
      <c r="D41" s="5" t="n"/>
      <c r="E41" s="29" t="n"/>
      <c r="F41" s="29" t="n"/>
    </row>
    <row r="42">
      <c r="A42" s="5" t="inlineStr">
        <is>
          <t>2025-10</t>
        </is>
      </c>
      <c r="B42" s="5" t="n">
        <v>79622</v>
      </c>
      <c r="C42" s="5" t="n">
        <v>12467</v>
      </c>
      <c r="D42" s="5" t="n"/>
      <c r="E42" s="29" t="n"/>
      <c r="F42" s="29" t="n"/>
    </row>
    <row r="43">
      <c r="A43" s="5" t="inlineStr">
        <is>
          <t>2025-11</t>
        </is>
      </c>
      <c r="B43" s="5" t="n">
        <v>80318</v>
      </c>
      <c r="C43" s="5" t="n">
        <v>10713</v>
      </c>
      <c r="D43" s="5" t="n"/>
      <c r="E43" s="29" t="n"/>
      <c r="F43" s="29" t="n"/>
    </row>
    <row r="44">
      <c r="A44" s="5" t="inlineStr">
        <is>
          <t>2025-12</t>
        </is>
      </c>
      <c r="B44" s="5" t="n">
        <v>81170</v>
      </c>
      <c r="C44" s="5" t="n">
        <v>10274</v>
      </c>
      <c r="D44" s="5" t="n"/>
      <c r="E44" s="29" t="n"/>
      <c r="F44" s="29" t="n"/>
    </row>
    <row r="45">
      <c r="A45" s="5" t="inlineStr">
        <is>
          <t>2026-01</t>
        </is>
      </c>
      <c r="B45" s="5" t="n">
        <v>82727</v>
      </c>
      <c r="C45" s="5" t="n">
        <v>11709</v>
      </c>
      <c r="D45" s="5" t="n">
        <v>133</v>
      </c>
      <c r="E45" s="29" t="n"/>
      <c r="F45" s="29" t="n">
        <v>0.0266</v>
      </c>
    </row>
    <row r="46">
      <c r="A46" s="5" t="inlineStr">
        <is>
          <t>2026-02</t>
        </is>
      </c>
      <c r="B46" s="5" t="n">
        <v>83394</v>
      </c>
      <c r="C46" s="5" t="n">
        <v>11175</v>
      </c>
      <c r="D46" s="5" t="n">
        <v>637</v>
      </c>
      <c r="E46" s="29" t="n">
        <v>0.9275</v>
      </c>
      <c r="F46" s="29" t="n">
        <v>0.0221</v>
      </c>
    </row>
    <row r="47">
      <c r="A47" s="5" t="inlineStr">
        <is>
          <t>2026-03</t>
        </is>
      </c>
      <c r="B47" s="5" t="n">
        <v>0</v>
      </c>
      <c r="C47" s="5" t="n"/>
      <c r="D47" s="5" t="n"/>
      <c r="E47" s="29" t="n"/>
      <c r="F47" s="29" t="n"/>
    </row>
    <row r="48">
      <c r="A48" s="5" t="inlineStr">
        <is>
          <t>2026-04</t>
        </is>
      </c>
      <c r="B48" s="5" t="n">
        <v>0</v>
      </c>
      <c r="C48" s="5" t="n"/>
      <c r="D48" s="5" t="n"/>
      <c r="E48" s="29" t="n"/>
      <c r="F48" s="29" t="n"/>
    </row>
    <row r="49">
      <c r="A49" s="5" t="inlineStr">
        <is>
          <t>2026-05</t>
        </is>
      </c>
      <c r="B49" s="5" t="n">
        <v>0</v>
      </c>
      <c r="C49" s="5" t="n"/>
      <c r="D49" s="5" t="n"/>
      <c r="E49" s="29" t="n"/>
      <c r="F49" s="29" t="n"/>
    </row>
    <row r="50">
      <c r="A50" s="5" t="inlineStr">
        <is>
          <t>2026-06</t>
        </is>
      </c>
      <c r="B50" s="5" t="n">
        <v>0</v>
      </c>
      <c r="C50" s="5" t="n"/>
      <c r="D50" s="5" t="n"/>
      <c r="E50" s="29" t="n"/>
      <c r="F50" s="29" t="n"/>
    </row>
    <row r="51">
      <c r="A51" s="5" t="inlineStr">
        <is>
          <t>2026-07</t>
        </is>
      </c>
      <c r="B51" s="5" t="n">
        <v>0</v>
      </c>
      <c r="C51" s="5" t="n"/>
      <c r="D51" s="5" t="n"/>
      <c r="E51" s="29" t="n"/>
      <c r="F51" s="29" t="n"/>
    </row>
    <row r="52">
      <c r="A52" s="5" t="inlineStr">
        <is>
          <t>2026-08</t>
        </is>
      </c>
      <c r="B52" s="5" t="n">
        <v>0</v>
      </c>
      <c r="C52" s="5" t="n"/>
      <c r="D52" s="5" t="n"/>
      <c r="E52" s="29" t="n"/>
      <c r="F52" s="29" t="n"/>
    </row>
    <row r="53">
      <c r="A53" s="5" t="inlineStr">
        <is>
          <t>2026-09</t>
        </is>
      </c>
      <c r="B53" s="5" t="n">
        <v>0</v>
      </c>
      <c r="C53" s="5" t="n"/>
      <c r="D53" s="5" t="n"/>
      <c r="E53" s="29" t="n"/>
      <c r="F53" s="29" t="n"/>
    </row>
    <row r="54">
      <c r="A54" s="5" t="inlineStr">
        <is>
          <t>2026-10</t>
        </is>
      </c>
      <c r="B54" s="5" t="n">
        <v>0</v>
      </c>
      <c r="C54" s="5" t="n"/>
      <c r="D54" s="5" t="n"/>
      <c r="E54" s="29" t="n"/>
      <c r="F54" s="29" t="n"/>
    </row>
    <row r="55">
      <c r="A55" s="5" t="inlineStr">
        <is>
          <t>2026-11</t>
        </is>
      </c>
      <c r="B55" s="5" t="n">
        <v>0</v>
      </c>
      <c r="C55" s="5" t="n"/>
      <c r="D55" s="5" t="n"/>
      <c r="E55" s="29" t="n"/>
      <c r="F55" s="29" t="n"/>
    </row>
    <row r="56">
      <c r="A56" s="5" t="inlineStr">
        <is>
          <t>2026-12</t>
        </is>
      </c>
      <c r="B56" s="5" t="n">
        <v>0</v>
      </c>
      <c r="C56" s="5" t="n"/>
      <c r="D56" s="5" t="n"/>
      <c r="E56" s="29" t="n"/>
      <c r="F56" s="29" t="n"/>
    </row>
  </sheetData>
  <dataValidations count="1">
    <dataValidation sqref="B3" showDropDown="0" showInputMessage="0" showErrorMessage="0" allowBlank="0" type="list">
      <formula1>=CAT_PERIODOS!$B$5:$B$64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1" t="inlineStr">
        <is>
          <t>DASHBOARD EJECUTIVO</t>
        </is>
      </c>
    </row>
    <row r="3">
      <c r="A3" s="20" t="inlineStr">
        <is>
          <t>Período activo</t>
        </is>
      </c>
      <c r="B3" s="21">
        <f>KPIS_MENSUALES!B3</f>
        <v/>
      </c>
    </row>
    <row r="5">
      <c r="A5" s="22" t="inlineStr">
        <is>
          <t>Total seguidores</t>
        </is>
      </c>
      <c r="B5" s="31" t="n"/>
      <c r="C5" s="32" t="n"/>
      <c r="D5" s="22" t="inlineStr">
        <is>
          <t>Visitas web</t>
        </is>
      </c>
      <c r="E5" s="31" t="n"/>
      <c r="F5" s="32" t="n"/>
      <c r="G5" s="22" t="inlineStr">
        <is>
          <t>Plantación acumulada</t>
        </is>
      </c>
      <c r="H5" s="31" t="n"/>
      <c r="I5" s="32" t="n"/>
      <c r="J5" s="22" t="inlineStr">
        <is>
          <t>OPEX + CAPEX B26</t>
        </is>
      </c>
      <c r="K5" s="31" t="n"/>
      <c r="L5" s="32" t="n"/>
    </row>
    <row r="6">
      <c r="A6" s="23">
        <f>KPIS_MENSUALES!B6</f>
        <v/>
      </c>
      <c r="B6" s="33" t="n"/>
      <c r="C6" s="34" t="n"/>
      <c r="D6" s="23">
        <f>KPIS_MENSUALES!B7</f>
        <v/>
      </c>
      <c r="E6" s="33" t="n"/>
      <c r="F6" s="34" t="n"/>
      <c r="G6" s="24">
        <f>KPIS_MENSUALES!B9</f>
        <v/>
      </c>
      <c r="H6" s="33" t="n"/>
      <c r="I6" s="34" t="n"/>
      <c r="J6" s="23">
        <f>KPIS_MENSUALES!B11</f>
        <v/>
      </c>
      <c r="K6" s="33" t="n"/>
      <c r="L6" s="34" t="n"/>
    </row>
    <row r="7">
      <c r="A7" s="35" t="n"/>
      <c r="B7" s="36" t="n"/>
      <c r="C7" s="37" t="n"/>
      <c r="D7" s="35" t="n"/>
      <c r="E7" s="36" t="n"/>
      <c r="F7" s="37" t="n"/>
      <c r="G7" s="35" t="n"/>
      <c r="H7" s="36" t="n"/>
      <c r="I7" s="37" t="n"/>
      <c r="J7" s="35" t="n"/>
      <c r="K7" s="36" t="n"/>
      <c r="L7" s="37" t="n"/>
    </row>
    <row r="10">
      <c r="A10" s="22" t="inlineStr">
        <is>
          <t>Cumplimiento ambiental</t>
        </is>
      </c>
      <c r="B10" s="31" t="n"/>
      <c r="C10" s="32" t="n"/>
      <c r="D10" s="22" t="inlineStr">
        <is>
          <t>Descuento general</t>
        </is>
      </c>
      <c r="E10" s="31" t="n"/>
      <c r="F10" s="32" t="n"/>
      <c r="G10" s="22" t="inlineStr">
        <is>
          <t>Tasa acc. industrial</t>
        </is>
      </c>
      <c r="H10" s="31" t="n"/>
      <c r="I10" s="32" t="n"/>
      <c r="J10" s="22" t="inlineStr">
        <is>
          <t>% formularios enviados</t>
        </is>
      </c>
      <c r="K10" s="31" t="n"/>
      <c r="L10" s="32" t="n"/>
    </row>
    <row r="11">
      <c r="A11" s="38">
        <f>KPIS_MENSUALES!B12</f>
        <v/>
      </c>
      <c r="B11" s="33" t="n"/>
      <c r="C11" s="34" t="n"/>
      <c r="D11" s="38">
        <f>KPIS_MENSUALES!B10</f>
        <v/>
      </c>
      <c r="E11" s="33" t="n"/>
      <c r="F11" s="34" t="n"/>
      <c r="G11" s="26">
        <f>KPIS_MENSUALES!B13</f>
        <v/>
      </c>
      <c r="H11" s="33" t="n"/>
      <c r="I11" s="34" t="n"/>
      <c r="J11" s="38">
        <f>KPIS_MENSUALES!B15</f>
        <v/>
      </c>
      <c r="K11" s="33" t="n"/>
      <c r="L11" s="34" t="n"/>
    </row>
    <row r="12">
      <c r="A12" s="35" t="n"/>
      <c r="B12" s="36" t="n"/>
      <c r="C12" s="37" t="n"/>
      <c r="D12" s="35" t="n"/>
      <c r="E12" s="36" t="n"/>
      <c r="F12" s="37" t="n"/>
      <c r="G12" s="35" t="n"/>
      <c r="H12" s="36" t="n"/>
      <c r="I12" s="37" t="n"/>
      <c r="J12" s="35" t="n"/>
      <c r="K12" s="36" t="n"/>
      <c r="L12" s="37" t="n"/>
    </row>
  </sheetData>
  <mergeCells count="16">
    <mergeCell ref="A10:C10"/>
    <mergeCell ref="J5:L5"/>
    <mergeCell ref="A6:C7"/>
    <mergeCell ref="G6:I7"/>
    <mergeCell ref="D6:F7"/>
    <mergeCell ref="J6:L7"/>
    <mergeCell ref="D11:F12"/>
    <mergeCell ref="D5:F5"/>
    <mergeCell ref="A5:C5"/>
    <mergeCell ref="G5:I5"/>
    <mergeCell ref="A11:C12"/>
    <mergeCell ref="G10:I10"/>
    <mergeCell ref="J10:L10"/>
    <mergeCell ref="J11:L12"/>
    <mergeCell ref="G11:I12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40" customWidth="1" min="2" max="2"/>
    <col width="16" customWidth="1" min="3" max="3"/>
    <col width="16" customWidth="1" min="4" max="4"/>
  </cols>
  <sheetData>
    <row r="1" ht="26" customHeight="1">
      <c r="A1" s="41" t="inlineStr">
        <is>
          <t>EXPORT_APP</t>
        </is>
      </c>
    </row>
    <row r="2"/>
    <row r="3"/>
    <row r="4" ht="24" customHeight="1">
      <c r="A4" s="42" t="inlineStr">
        <is>
          <t>componente</t>
        </is>
      </c>
      <c r="B4" s="42" t="inlineStr">
        <is>
          <t>detalle</t>
        </is>
      </c>
    </row>
    <row r="5">
      <c r="A5" t="inlineStr">
        <is>
          <t>backend</t>
        </is>
      </c>
      <c r="B5" t="inlineStr">
        <is>
          <t>Flask con autenticación y almacenamiento SQLite</t>
        </is>
      </c>
    </row>
    <row r="6">
      <c r="A6" t="inlineStr">
        <is>
          <t>logo</t>
        </is>
      </c>
      <c r="B6" t="inlineStr">
        <is>
          <t>Logo corporativo configurable desde Administración</t>
        </is>
      </c>
    </row>
    <row r="7">
      <c r="A7" t="inlineStr">
        <is>
          <t>listas_editables</t>
        </is>
      </c>
      <c r="B7" t="inlineStr">
        <is>
          <t>Los responsables pueden gestionar listas fijas y filas repetibles de su área</t>
        </is>
      </c>
    </row>
    <row r="8">
      <c r="A8" t="inlineStr">
        <is>
          <t>adjuntos</t>
        </is>
      </c>
      <c r="B8" t="inlineStr">
        <is>
          <t>Los usuarios pueden adjuntar documentos de respaldo</t>
        </is>
      </c>
    </row>
    <row r="9">
      <c r="A9" t="inlineStr">
        <is>
          <t>texto_libre</t>
        </is>
      </c>
      <c r="B9" t="inlineStr">
        <is>
          <t>Cada formulario incluye un bloque de texto para el PDF</t>
        </is>
      </c>
    </row>
    <row r="10">
      <c r="A10" t="inlineStr">
        <is>
          <t>libro_online</t>
        </is>
      </c>
      <c r="B10" t="inlineStr">
        <is>
          <t>Sincronización opcional con OneDrive/SharePoint vía Graph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40" customWidth="1" min="2" max="2"/>
    <col width="40" customWidth="1" min="3" max="3"/>
    <col width="21" customWidth="1" min="4" max="4"/>
    <col width="21" customWidth="1" min="5" max="5"/>
    <col width="15" customWidth="1" min="6" max="6"/>
    <col width="12" customWidth="1" min="7" max="7"/>
    <col width="11" customWidth="1" min="8" max="8"/>
    <col width="12" customWidth="1" min="9" max="9"/>
  </cols>
  <sheetData>
    <row r="1">
      <c r="A1" s="43" t="inlineStr">
        <is>
          <t>CAT_LISTAS</t>
        </is>
      </c>
    </row>
    <row r="2"/>
    <row r="3"/>
    <row r="4" ht="24" customHeight="1">
      <c r="A4" s="42" t="inlineStr">
        <is>
          <t>list_code</t>
        </is>
      </c>
      <c r="B4" s="42" t="inlineStr">
        <is>
          <t>value_code</t>
        </is>
      </c>
      <c r="C4" s="42" t="inlineStr">
        <is>
          <t>value_label</t>
        </is>
      </c>
      <c r="D4" s="42" t="inlineStr">
        <is>
          <t>group_name</t>
        </is>
      </c>
      <c r="E4" s="42" t="inlineStr">
        <is>
          <t>owner_area_code</t>
        </is>
      </c>
      <c r="F4" s="42" t="inlineStr">
        <is>
          <t>user_editable</t>
        </is>
      </c>
      <c r="G4" s="42" t="inlineStr">
        <is>
          <t>sort_order</t>
        </is>
      </c>
      <c r="H4" s="42" t="inlineStr">
        <is>
          <t>is_active</t>
        </is>
      </c>
      <c r="I4" s="42" t="inlineStr">
        <is>
          <t>created_by</t>
        </is>
      </c>
    </row>
    <row r="5">
      <c r="A5" t="inlineStr">
        <is>
          <t>areas_paracel</t>
        </is>
      </c>
      <c r="B5" t="inlineStr">
        <is>
          <t>talento_humano</t>
        </is>
      </c>
      <c r="C5" t="inlineStr">
        <is>
          <t>Talento Humano</t>
        </is>
      </c>
      <c r="D5" t="inlineStr">
        <is>
          <t>areas_paracel</t>
        </is>
      </c>
      <c r="E5" t="inlineStr">
        <is>
          <t>talento_humano</t>
        </is>
      </c>
      <c r="F5" t="inlineStr">
        <is>
          <t>Sí</t>
        </is>
      </c>
      <c r="G5" t="n">
        <v>1</v>
      </c>
      <c r="H5" t="inlineStr">
        <is>
          <t>Sí</t>
        </is>
      </c>
      <c r="I5" t="inlineStr">
        <is>
          <t>seed</t>
        </is>
      </c>
    </row>
    <row r="6">
      <c r="A6" t="inlineStr">
        <is>
          <t>areas_paracel</t>
        </is>
      </c>
      <c r="B6" t="inlineStr">
        <is>
          <t>seguridad_corporativa</t>
        </is>
      </c>
      <c r="C6" t="inlineStr">
        <is>
          <t>Seguridad Corporativa</t>
        </is>
      </c>
      <c r="D6" t="inlineStr">
        <is>
          <t>areas_paracel</t>
        </is>
      </c>
      <c r="E6" t="inlineStr">
        <is>
          <t>talento_humano</t>
        </is>
      </c>
      <c r="F6" t="inlineStr">
        <is>
          <t>Sí</t>
        </is>
      </c>
      <c r="G6" t="n">
        <v>2</v>
      </c>
      <c r="H6" t="inlineStr">
        <is>
          <t>Sí</t>
        </is>
      </c>
      <c r="I6" t="inlineStr">
        <is>
          <t>seed</t>
        </is>
      </c>
    </row>
    <row r="7">
      <c r="A7" t="inlineStr">
        <is>
          <t>areas_paracel</t>
        </is>
      </c>
      <c r="B7" t="inlineStr">
        <is>
          <t>salud_y_seguridad</t>
        </is>
      </c>
      <c r="C7" t="inlineStr">
        <is>
          <t>Salud y Seguridad</t>
        </is>
      </c>
      <c r="D7" t="inlineStr">
        <is>
          <t>areas_paracel</t>
        </is>
      </c>
      <c r="E7" t="inlineStr">
        <is>
          <t>talento_humano</t>
        </is>
      </c>
      <c r="F7" t="inlineStr">
        <is>
          <t>Sí</t>
        </is>
      </c>
      <c r="G7" t="n">
        <v>3</v>
      </c>
      <c r="H7" t="inlineStr">
        <is>
          <t>Sí</t>
        </is>
      </c>
      <c r="I7" t="inlineStr">
        <is>
          <t>seed</t>
        </is>
      </c>
    </row>
    <row r="8">
      <c r="A8" t="inlineStr">
        <is>
          <t>areas_paracel</t>
        </is>
      </c>
      <c r="B8" t="inlineStr">
        <is>
          <t>sustentabilidad_social</t>
        </is>
      </c>
      <c r="C8" t="inlineStr">
        <is>
          <t>Sustentabilidad Social</t>
        </is>
      </c>
      <c r="D8" t="inlineStr">
        <is>
          <t>areas_paracel</t>
        </is>
      </c>
      <c r="E8" t="inlineStr">
        <is>
          <t>talento_humano</t>
        </is>
      </c>
      <c r="F8" t="inlineStr">
        <is>
          <t>Sí</t>
        </is>
      </c>
      <c r="G8" t="n">
        <v>4</v>
      </c>
      <c r="H8" t="inlineStr">
        <is>
          <t>Sí</t>
        </is>
      </c>
      <c r="I8" t="inlineStr">
        <is>
          <t>seed</t>
        </is>
      </c>
    </row>
    <row r="9">
      <c r="A9" t="inlineStr">
        <is>
          <t>areas_paracel</t>
        </is>
      </c>
      <c r="B9" t="inlineStr">
        <is>
          <t>comunicaciones</t>
        </is>
      </c>
      <c r="C9" t="inlineStr">
        <is>
          <t>Comunicaciones</t>
        </is>
      </c>
      <c r="D9" t="inlineStr">
        <is>
          <t>areas_paracel</t>
        </is>
      </c>
      <c r="E9" t="inlineStr">
        <is>
          <t>talento_humano</t>
        </is>
      </c>
      <c r="F9" t="inlineStr">
        <is>
          <t>Sí</t>
        </is>
      </c>
      <c r="G9" t="n">
        <v>5</v>
      </c>
      <c r="H9" t="inlineStr">
        <is>
          <t>Sí</t>
        </is>
      </c>
      <c r="I9" t="inlineStr">
        <is>
          <t>seed</t>
        </is>
      </c>
    </row>
    <row r="10">
      <c r="A10" t="inlineStr">
        <is>
          <t>areas_paracel</t>
        </is>
      </c>
      <c r="B10" t="inlineStr">
        <is>
          <t>compras</t>
        </is>
      </c>
      <c r="C10" t="inlineStr">
        <is>
          <t>Compras</t>
        </is>
      </c>
      <c r="D10" t="inlineStr">
        <is>
          <t>areas_paracel</t>
        </is>
      </c>
      <c r="E10" t="inlineStr">
        <is>
          <t>talento_humano</t>
        </is>
      </c>
      <c r="F10" t="inlineStr">
        <is>
          <t>Sí</t>
        </is>
      </c>
      <c r="G10" t="n">
        <v>6</v>
      </c>
      <c r="H10" t="inlineStr">
        <is>
          <t>Sí</t>
        </is>
      </c>
      <c r="I10" t="inlineStr">
        <is>
          <t>seed</t>
        </is>
      </c>
    </row>
    <row r="11">
      <c r="A11" t="inlineStr">
        <is>
          <t>areas_paracel</t>
        </is>
      </c>
      <c r="B11" t="inlineStr">
        <is>
          <t>finanzas</t>
        </is>
      </c>
      <c r="C11" t="inlineStr">
        <is>
          <t>Finanzas</t>
        </is>
      </c>
      <c r="D11" t="inlineStr">
        <is>
          <t>areas_paracel</t>
        </is>
      </c>
      <c r="E11" t="inlineStr">
        <is>
          <t>talento_humano</t>
        </is>
      </c>
      <c r="F11" t="inlineStr">
        <is>
          <t>Sí</t>
        </is>
      </c>
      <c r="G11" t="n">
        <v>7</v>
      </c>
      <c r="H11" t="inlineStr">
        <is>
          <t>Sí</t>
        </is>
      </c>
      <c r="I11" t="inlineStr">
        <is>
          <t>seed</t>
        </is>
      </c>
    </row>
    <row r="12">
      <c r="A12" t="inlineStr">
        <is>
          <t>areas_paracel</t>
        </is>
      </c>
      <c r="B12" t="inlineStr">
        <is>
          <t>tesorer_a</t>
        </is>
      </c>
      <c r="C12" t="inlineStr">
        <is>
          <t>Tesorería</t>
        </is>
      </c>
      <c r="D12" t="inlineStr">
        <is>
          <t>areas_paracel</t>
        </is>
      </c>
      <c r="E12" t="inlineStr">
        <is>
          <t>talento_humano</t>
        </is>
      </c>
      <c r="F12" t="inlineStr">
        <is>
          <t>Sí</t>
        </is>
      </c>
      <c r="G12" t="n">
        <v>8</v>
      </c>
      <c r="H12" t="inlineStr">
        <is>
          <t>Sí</t>
        </is>
      </c>
      <c r="I12" t="inlineStr">
        <is>
          <t>seed</t>
        </is>
      </c>
    </row>
    <row r="13">
      <c r="A13" t="inlineStr">
        <is>
          <t>areas_paracel</t>
        </is>
      </c>
      <c r="B13" t="inlineStr">
        <is>
          <t>contabilidad</t>
        </is>
      </c>
      <c r="C13" t="inlineStr">
        <is>
          <t xml:space="preserve">Contabilidad </t>
        </is>
      </c>
      <c r="D13" t="inlineStr">
        <is>
          <t>areas_paracel</t>
        </is>
      </c>
      <c r="E13" t="inlineStr">
        <is>
          <t>talento_humano</t>
        </is>
      </c>
      <c r="F13" t="inlineStr">
        <is>
          <t>Sí</t>
        </is>
      </c>
      <c r="G13" t="n">
        <v>9</v>
      </c>
      <c r="H13" t="inlineStr">
        <is>
          <t>Sí</t>
        </is>
      </c>
      <c r="I13" t="inlineStr">
        <is>
          <t>seed</t>
        </is>
      </c>
    </row>
    <row r="14">
      <c r="A14" t="inlineStr">
        <is>
          <t>areas_paracel</t>
        </is>
      </c>
      <c r="B14" t="inlineStr">
        <is>
          <t>ambiental</t>
        </is>
      </c>
      <c r="C14" t="inlineStr">
        <is>
          <t>Ambiental</t>
        </is>
      </c>
      <c r="D14" t="inlineStr">
        <is>
          <t>areas_paracel</t>
        </is>
      </c>
      <c r="E14" t="inlineStr">
        <is>
          <t>talento_humano</t>
        </is>
      </c>
      <c r="F14" t="inlineStr">
        <is>
          <t>Sí</t>
        </is>
      </c>
      <c r="G14" t="n">
        <v>10</v>
      </c>
      <c r="H14" t="inlineStr">
        <is>
          <t>Sí</t>
        </is>
      </c>
      <c r="I14" t="inlineStr">
        <is>
          <t>seed</t>
        </is>
      </c>
    </row>
    <row r="15">
      <c r="A15" t="inlineStr">
        <is>
          <t>areas_paracel</t>
        </is>
      </c>
      <c r="B15" t="inlineStr">
        <is>
          <t>forestal</t>
        </is>
      </c>
      <c r="C15" t="inlineStr">
        <is>
          <t>Forestal</t>
        </is>
      </c>
      <c r="D15" t="inlineStr">
        <is>
          <t>areas_paracel</t>
        </is>
      </c>
      <c r="E15" t="inlineStr">
        <is>
          <t>talento_humano</t>
        </is>
      </c>
      <c r="F15" t="inlineStr">
        <is>
          <t>Sí</t>
        </is>
      </c>
      <c r="G15" t="n">
        <v>11</v>
      </c>
      <c r="H15" t="inlineStr">
        <is>
          <t>Sí</t>
        </is>
      </c>
      <c r="I15" t="inlineStr">
        <is>
          <t>seed</t>
        </is>
      </c>
    </row>
    <row r="16">
      <c r="A16" t="inlineStr">
        <is>
          <t>areas_paracel</t>
        </is>
      </c>
      <c r="B16" t="inlineStr">
        <is>
          <t>log_stica</t>
        </is>
      </c>
      <c r="C16" t="inlineStr">
        <is>
          <t>Logística</t>
        </is>
      </c>
      <c r="D16" t="inlineStr">
        <is>
          <t>areas_paracel</t>
        </is>
      </c>
      <c r="E16" t="inlineStr">
        <is>
          <t>talento_humano</t>
        </is>
      </c>
      <c r="F16" t="inlineStr">
        <is>
          <t>Sí</t>
        </is>
      </c>
      <c r="G16" t="n">
        <v>12</v>
      </c>
      <c r="H16" t="inlineStr">
        <is>
          <t>Sí</t>
        </is>
      </c>
      <c r="I16" t="inlineStr">
        <is>
          <t>seed</t>
        </is>
      </c>
    </row>
    <row r="17">
      <c r="A17" t="inlineStr">
        <is>
          <t>areas_paracel</t>
        </is>
      </c>
      <c r="B17" t="inlineStr">
        <is>
          <t>tecnolog_a</t>
        </is>
      </c>
      <c r="C17" t="inlineStr">
        <is>
          <t>Tecnología</t>
        </is>
      </c>
      <c r="D17" t="inlineStr">
        <is>
          <t>areas_paracel</t>
        </is>
      </c>
      <c r="E17" t="inlineStr">
        <is>
          <t>talento_humano</t>
        </is>
      </c>
      <c r="F17" t="inlineStr">
        <is>
          <t>Sí</t>
        </is>
      </c>
      <c r="G17" t="n">
        <v>13</v>
      </c>
      <c r="H17" t="inlineStr">
        <is>
          <t>Sí</t>
        </is>
      </c>
      <c r="I17" t="inlineStr">
        <is>
          <t>seed</t>
        </is>
      </c>
    </row>
    <row r="18">
      <c r="A18" t="inlineStr">
        <is>
          <t>areas_paracel</t>
        </is>
      </c>
      <c r="B18" t="inlineStr">
        <is>
          <t>ingenier_a</t>
        </is>
      </c>
      <c r="C18" t="inlineStr">
        <is>
          <t>Ingeniería</t>
        </is>
      </c>
      <c r="D18" t="inlineStr">
        <is>
          <t>areas_paracel</t>
        </is>
      </c>
      <c r="E18" t="inlineStr">
        <is>
          <t>talento_humano</t>
        </is>
      </c>
      <c r="F18" t="inlineStr">
        <is>
          <t>Sí</t>
        </is>
      </c>
      <c r="G18" t="n">
        <v>14</v>
      </c>
      <c r="H18" t="inlineStr">
        <is>
          <t>Sí</t>
        </is>
      </c>
      <c r="I18" t="inlineStr">
        <is>
          <t>seed</t>
        </is>
      </c>
    </row>
    <row r="19">
      <c r="A19" t="inlineStr">
        <is>
          <t>departamentos</t>
        </is>
      </c>
      <c r="B19" t="inlineStr">
        <is>
          <t xml:space="preserve">Asunción </t>
        </is>
      </c>
      <c r="C19" t="inlineStr">
        <is>
          <t xml:space="preserve">Asunción </t>
        </is>
      </c>
      <c r="D19" t="inlineStr">
        <is>
          <t>departamentos</t>
        </is>
      </c>
      <c r="F19" t="inlineStr">
        <is>
          <t>No</t>
        </is>
      </c>
      <c r="G19" t="n">
        <v>1</v>
      </c>
      <c r="H19" t="inlineStr">
        <is>
          <t>Sí</t>
        </is>
      </c>
      <c r="I19" t="inlineStr">
        <is>
          <t>seed</t>
        </is>
      </c>
    </row>
    <row r="20">
      <c r="A20" t="inlineStr">
        <is>
          <t>departamentos</t>
        </is>
      </c>
      <c r="B20" t="inlineStr">
        <is>
          <t>Concepción</t>
        </is>
      </c>
      <c r="C20" t="inlineStr">
        <is>
          <t>Concepción</t>
        </is>
      </c>
      <c r="D20" t="inlineStr">
        <is>
          <t>departamentos</t>
        </is>
      </c>
      <c r="F20" t="inlineStr">
        <is>
          <t>No</t>
        </is>
      </c>
      <c r="G20" t="n">
        <v>2</v>
      </c>
      <c r="H20" t="inlineStr">
        <is>
          <t>Sí</t>
        </is>
      </c>
      <c r="I20" t="inlineStr">
        <is>
          <t>seed</t>
        </is>
      </c>
    </row>
    <row r="21">
      <c r="A21" t="inlineStr">
        <is>
          <t>departamentos</t>
        </is>
      </c>
      <c r="B21" t="inlineStr">
        <is>
          <t>San Pedro</t>
        </is>
      </c>
      <c r="C21" t="inlineStr">
        <is>
          <t>San Pedro</t>
        </is>
      </c>
      <c r="D21" t="inlineStr">
        <is>
          <t>departamentos</t>
        </is>
      </c>
      <c r="F21" t="inlineStr">
        <is>
          <t>No</t>
        </is>
      </c>
      <c r="G21" t="n">
        <v>3</v>
      </c>
      <c r="H21" t="inlineStr">
        <is>
          <t>Sí</t>
        </is>
      </c>
      <c r="I21" t="inlineStr">
        <is>
          <t>seed</t>
        </is>
      </c>
    </row>
    <row r="22">
      <c r="A22" t="inlineStr">
        <is>
          <t>departamentos</t>
        </is>
      </c>
      <c r="B22" t="inlineStr">
        <is>
          <t>Cordillera</t>
        </is>
      </c>
      <c r="C22" t="inlineStr">
        <is>
          <t>Cordillera</t>
        </is>
      </c>
      <c r="D22" t="inlineStr">
        <is>
          <t>departamentos</t>
        </is>
      </c>
      <c r="F22" t="inlineStr">
        <is>
          <t>No</t>
        </is>
      </c>
      <c r="G22" t="n">
        <v>4</v>
      </c>
      <c r="H22" t="inlineStr">
        <is>
          <t>Sí</t>
        </is>
      </c>
      <c r="I22" t="inlineStr">
        <is>
          <t>seed</t>
        </is>
      </c>
    </row>
    <row r="23">
      <c r="A23" t="inlineStr">
        <is>
          <t>departamentos</t>
        </is>
      </c>
      <c r="B23" t="inlineStr">
        <is>
          <t>Guairá</t>
        </is>
      </c>
      <c r="C23" t="inlineStr">
        <is>
          <t>Guairá</t>
        </is>
      </c>
      <c r="D23" t="inlineStr">
        <is>
          <t>departamentos</t>
        </is>
      </c>
      <c r="F23" t="inlineStr">
        <is>
          <t>No</t>
        </is>
      </c>
      <c r="G23" t="n">
        <v>5</v>
      </c>
      <c r="H23" t="inlineStr">
        <is>
          <t>Sí</t>
        </is>
      </c>
      <c r="I23" t="inlineStr">
        <is>
          <t>seed</t>
        </is>
      </c>
    </row>
    <row r="24">
      <c r="A24" t="inlineStr">
        <is>
          <t>departamentos</t>
        </is>
      </c>
      <c r="B24" t="inlineStr">
        <is>
          <t>Caaguazú</t>
        </is>
      </c>
      <c r="C24" t="inlineStr">
        <is>
          <t>Caaguazú</t>
        </is>
      </c>
      <c r="D24" t="inlineStr">
        <is>
          <t>departamentos</t>
        </is>
      </c>
      <c r="F24" t="inlineStr">
        <is>
          <t>No</t>
        </is>
      </c>
      <c r="G24" t="n">
        <v>6</v>
      </c>
      <c r="H24" t="inlineStr">
        <is>
          <t>Sí</t>
        </is>
      </c>
      <c r="I24" t="inlineStr">
        <is>
          <t>seed</t>
        </is>
      </c>
    </row>
    <row r="25">
      <c r="A25" t="inlineStr">
        <is>
          <t>departamentos</t>
        </is>
      </c>
      <c r="B25" t="inlineStr">
        <is>
          <t>Caazapá</t>
        </is>
      </c>
      <c r="C25" t="inlineStr">
        <is>
          <t>Caazapá</t>
        </is>
      </c>
      <c r="D25" t="inlineStr">
        <is>
          <t>departamentos</t>
        </is>
      </c>
      <c r="F25" t="inlineStr">
        <is>
          <t>No</t>
        </is>
      </c>
      <c r="G25" t="n">
        <v>7</v>
      </c>
      <c r="H25" t="inlineStr">
        <is>
          <t>Sí</t>
        </is>
      </c>
      <c r="I25" t="inlineStr">
        <is>
          <t>seed</t>
        </is>
      </c>
    </row>
    <row r="26">
      <c r="A26" t="inlineStr">
        <is>
          <t>departamentos</t>
        </is>
      </c>
      <c r="B26" t="inlineStr">
        <is>
          <t>Itapúa</t>
        </is>
      </c>
      <c r="C26" t="inlineStr">
        <is>
          <t>Itapúa</t>
        </is>
      </c>
      <c r="D26" t="inlineStr">
        <is>
          <t>departamentos</t>
        </is>
      </c>
      <c r="F26" t="inlineStr">
        <is>
          <t>No</t>
        </is>
      </c>
      <c r="G26" t="n">
        <v>8</v>
      </c>
      <c r="H26" t="inlineStr">
        <is>
          <t>Sí</t>
        </is>
      </c>
      <c r="I26" t="inlineStr">
        <is>
          <t>seed</t>
        </is>
      </c>
    </row>
    <row r="27">
      <c r="A27" t="inlineStr">
        <is>
          <t>departamentos</t>
        </is>
      </c>
      <c r="B27" t="inlineStr">
        <is>
          <t>Misiones</t>
        </is>
      </c>
      <c r="C27" t="inlineStr">
        <is>
          <t>Misiones</t>
        </is>
      </c>
      <c r="D27" t="inlineStr">
        <is>
          <t>departamentos</t>
        </is>
      </c>
      <c r="F27" t="inlineStr">
        <is>
          <t>No</t>
        </is>
      </c>
      <c r="G27" t="n">
        <v>9</v>
      </c>
      <c r="H27" t="inlineStr">
        <is>
          <t>Sí</t>
        </is>
      </c>
      <c r="I27" t="inlineStr">
        <is>
          <t>seed</t>
        </is>
      </c>
    </row>
    <row r="28">
      <c r="A28" t="inlineStr">
        <is>
          <t>departamentos</t>
        </is>
      </c>
      <c r="B28" t="inlineStr">
        <is>
          <t>Paraguarí</t>
        </is>
      </c>
      <c r="C28" t="inlineStr">
        <is>
          <t>Paraguarí</t>
        </is>
      </c>
      <c r="D28" t="inlineStr">
        <is>
          <t>departamentos</t>
        </is>
      </c>
      <c r="F28" t="inlineStr">
        <is>
          <t>No</t>
        </is>
      </c>
      <c r="G28" t="n">
        <v>10</v>
      </c>
      <c r="H28" t="inlineStr">
        <is>
          <t>Sí</t>
        </is>
      </c>
      <c r="I28" t="inlineStr">
        <is>
          <t>seed</t>
        </is>
      </c>
    </row>
    <row r="29">
      <c r="A29" t="inlineStr">
        <is>
          <t>departamentos</t>
        </is>
      </c>
      <c r="B29" t="inlineStr">
        <is>
          <t>Alto Paraná</t>
        </is>
      </c>
      <c r="C29" t="inlineStr">
        <is>
          <t>Alto Paraná</t>
        </is>
      </c>
      <c r="D29" t="inlineStr">
        <is>
          <t>departamentos</t>
        </is>
      </c>
      <c r="F29" t="inlineStr">
        <is>
          <t>No</t>
        </is>
      </c>
      <c r="G29" t="n">
        <v>11</v>
      </c>
      <c r="H29" t="inlineStr">
        <is>
          <t>Sí</t>
        </is>
      </c>
      <c r="I29" t="inlineStr">
        <is>
          <t>seed</t>
        </is>
      </c>
    </row>
    <row r="30">
      <c r="A30" t="inlineStr">
        <is>
          <t>departamentos</t>
        </is>
      </c>
      <c r="B30" t="inlineStr">
        <is>
          <t>Central</t>
        </is>
      </c>
      <c r="C30" t="inlineStr">
        <is>
          <t>Central</t>
        </is>
      </c>
      <c r="D30" t="inlineStr">
        <is>
          <t>departamentos</t>
        </is>
      </c>
      <c r="F30" t="inlineStr">
        <is>
          <t>No</t>
        </is>
      </c>
      <c r="G30" t="n">
        <v>12</v>
      </c>
      <c r="H30" t="inlineStr">
        <is>
          <t>Sí</t>
        </is>
      </c>
      <c r="I30" t="inlineStr">
        <is>
          <t>seed</t>
        </is>
      </c>
    </row>
    <row r="31">
      <c r="A31" t="inlineStr">
        <is>
          <t>departamentos</t>
        </is>
      </c>
      <c r="B31" t="inlineStr">
        <is>
          <t>Ñeembucú</t>
        </is>
      </c>
      <c r="C31" t="inlineStr">
        <is>
          <t>Ñeembucú</t>
        </is>
      </c>
      <c r="D31" t="inlineStr">
        <is>
          <t>departamentos</t>
        </is>
      </c>
      <c r="F31" t="inlineStr">
        <is>
          <t>No</t>
        </is>
      </c>
      <c r="G31" t="n">
        <v>13</v>
      </c>
      <c r="H31" t="inlineStr">
        <is>
          <t>Sí</t>
        </is>
      </c>
      <c r="I31" t="inlineStr">
        <is>
          <t>seed</t>
        </is>
      </c>
    </row>
    <row r="32">
      <c r="A32" t="inlineStr">
        <is>
          <t>departamentos</t>
        </is>
      </c>
      <c r="B32" t="inlineStr">
        <is>
          <t>Amambay</t>
        </is>
      </c>
      <c r="C32" t="inlineStr">
        <is>
          <t>Amambay</t>
        </is>
      </c>
      <c r="D32" t="inlineStr">
        <is>
          <t>departamentos</t>
        </is>
      </c>
      <c r="F32" t="inlineStr">
        <is>
          <t>No</t>
        </is>
      </c>
      <c r="G32" t="n">
        <v>14</v>
      </c>
      <c r="H32" t="inlineStr">
        <is>
          <t>Sí</t>
        </is>
      </c>
      <c r="I32" t="inlineStr">
        <is>
          <t>seed</t>
        </is>
      </c>
    </row>
    <row r="33">
      <c r="A33" t="inlineStr">
        <is>
          <t>departamentos</t>
        </is>
      </c>
      <c r="B33" t="inlineStr">
        <is>
          <t>Canindeyú</t>
        </is>
      </c>
      <c r="C33" t="inlineStr">
        <is>
          <t>Canindeyú</t>
        </is>
      </c>
      <c r="D33" t="inlineStr">
        <is>
          <t>departamentos</t>
        </is>
      </c>
      <c r="F33" t="inlineStr">
        <is>
          <t>No</t>
        </is>
      </c>
      <c r="G33" t="n">
        <v>15</v>
      </c>
      <c r="H33" t="inlineStr">
        <is>
          <t>Sí</t>
        </is>
      </c>
      <c r="I33" t="inlineStr">
        <is>
          <t>seed</t>
        </is>
      </c>
    </row>
    <row r="34">
      <c r="A34" t="inlineStr">
        <is>
          <t>departamentos</t>
        </is>
      </c>
      <c r="B34" t="inlineStr">
        <is>
          <t>Presidente Hayes</t>
        </is>
      </c>
      <c r="C34" t="inlineStr">
        <is>
          <t>Presidente Hayes</t>
        </is>
      </c>
      <c r="D34" t="inlineStr">
        <is>
          <t>departamentos</t>
        </is>
      </c>
      <c r="F34" t="inlineStr">
        <is>
          <t>No</t>
        </is>
      </c>
      <c r="G34" t="n">
        <v>16</v>
      </c>
      <c r="H34" t="inlineStr">
        <is>
          <t>Sí</t>
        </is>
      </c>
      <c r="I34" t="inlineStr">
        <is>
          <t>seed</t>
        </is>
      </c>
    </row>
    <row r="35">
      <c r="A35" t="inlineStr">
        <is>
          <t>departamentos</t>
        </is>
      </c>
      <c r="B35" t="inlineStr">
        <is>
          <t>Boquerón</t>
        </is>
      </c>
      <c r="C35" t="inlineStr">
        <is>
          <t>Boquerón</t>
        </is>
      </c>
      <c r="D35" t="inlineStr">
        <is>
          <t>departamentos</t>
        </is>
      </c>
      <c r="F35" t="inlineStr">
        <is>
          <t>No</t>
        </is>
      </c>
      <c r="G35" t="n">
        <v>17</v>
      </c>
      <c r="H35" t="inlineStr">
        <is>
          <t>Sí</t>
        </is>
      </c>
      <c r="I35" t="inlineStr">
        <is>
          <t>seed</t>
        </is>
      </c>
    </row>
    <row r="36">
      <c r="A36" t="inlineStr">
        <is>
          <t>departamentos</t>
        </is>
      </c>
      <c r="B36" t="inlineStr">
        <is>
          <t>Alto Paraguay</t>
        </is>
      </c>
      <c r="C36" t="inlineStr">
        <is>
          <t>Alto Paraguay</t>
        </is>
      </c>
      <c r="D36" t="inlineStr">
        <is>
          <t>departamentos</t>
        </is>
      </c>
      <c r="F36" t="inlineStr">
        <is>
          <t>No</t>
        </is>
      </c>
      <c r="G36" t="n">
        <v>18</v>
      </c>
      <c r="H36" t="inlineStr">
        <is>
          <t>Sí</t>
        </is>
      </c>
      <c r="I36" t="inlineStr">
        <is>
          <t>seed</t>
        </is>
      </c>
    </row>
    <row r="37">
      <c r="A37" t="inlineStr">
        <is>
          <t>business_unit</t>
        </is>
      </c>
      <c r="B37" t="inlineStr">
        <is>
          <t>Industrial</t>
        </is>
      </c>
      <c r="C37" t="inlineStr">
        <is>
          <t>Industrial</t>
        </is>
      </c>
      <c r="D37" t="inlineStr">
        <is>
          <t>business_unit</t>
        </is>
      </c>
      <c r="F37" t="inlineStr">
        <is>
          <t>No</t>
        </is>
      </c>
      <c r="G37" t="n">
        <v>1</v>
      </c>
      <c r="H37" t="inlineStr">
        <is>
          <t>Sí</t>
        </is>
      </c>
      <c r="I37" t="inlineStr">
        <is>
          <t>seed</t>
        </is>
      </c>
    </row>
    <row r="38">
      <c r="A38" t="inlineStr">
        <is>
          <t>business_unit</t>
        </is>
      </c>
      <c r="B38" t="inlineStr">
        <is>
          <t>Forestal</t>
        </is>
      </c>
      <c r="C38" t="inlineStr">
        <is>
          <t>Forestal</t>
        </is>
      </c>
      <c r="D38" t="inlineStr">
        <is>
          <t>business_unit</t>
        </is>
      </c>
      <c r="F38" t="inlineStr">
        <is>
          <t>No</t>
        </is>
      </c>
      <c r="G38" t="n">
        <v>2</v>
      </c>
      <c r="H38" t="inlineStr">
        <is>
          <t>Sí</t>
        </is>
      </c>
      <c r="I38" t="inlineStr">
        <is>
          <t>seed</t>
        </is>
      </c>
    </row>
    <row r="39">
      <c r="A39" t="inlineStr">
        <is>
          <t>business_unit</t>
        </is>
      </c>
      <c r="B39" t="inlineStr">
        <is>
          <t>Paracel</t>
        </is>
      </c>
      <c r="C39" t="inlineStr">
        <is>
          <t>Paracel</t>
        </is>
      </c>
      <c r="D39" t="inlineStr">
        <is>
          <t>business_unit</t>
        </is>
      </c>
      <c r="F39" t="inlineStr">
        <is>
          <t>No</t>
        </is>
      </c>
      <c r="G39" t="n">
        <v>3</v>
      </c>
      <c r="H39" t="inlineStr">
        <is>
          <t>Sí</t>
        </is>
      </c>
      <c r="I39" t="inlineStr">
        <is>
          <t>seed</t>
        </is>
      </c>
    </row>
    <row r="40">
      <c r="A40" t="inlineStr">
        <is>
          <t>contractors</t>
        </is>
      </c>
      <c r="B40" t="inlineStr">
        <is>
          <t>forestadora_del_este</t>
        </is>
      </c>
      <c r="C40" t="inlineStr">
        <is>
          <t>Forestadora del Este</t>
        </is>
      </c>
      <c r="D40" t="inlineStr">
        <is>
          <t>contractors</t>
        </is>
      </c>
      <c r="E40" t="inlineStr">
        <is>
          <t>ambiental</t>
        </is>
      </c>
      <c r="F40" t="inlineStr">
        <is>
          <t>Sí</t>
        </is>
      </c>
      <c r="G40" t="n">
        <v>1</v>
      </c>
      <c r="H40" t="inlineStr">
        <is>
          <t>Sí</t>
        </is>
      </c>
      <c r="I40" t="inlineStr">
        <is>
          <t>seed</t>
        </is>
      </c>
    </row>
    <row r="41">
      <c r="A41" t="inlineStr">
        <is>
          <t>contractors</t>
        </is>
      </c>
      <c r="B41" t="inlineStr">
        <is>
          <t>ranchales</t>
        </is>
      </c>
      <c r="C41" t="inlineStr">
        <is>
          <t>Ranchales</t>
        </is>
      </c>
      <c r="D41" t="inlineStr">
        <is>
          <t>contractors</t>
        </is>
      </c>
      <c r="E41" t="inlineStr">
        <is>
          <t>ambiental</t>
        </is>
      </c>
      <c r="F41" t="inlineStr">
        <is>
          <t>Sí</t>
        </is>
      </c>
      <c r="G41" t="n">
        <v>2</v>
      </c>
      <c r="H41" t="inlineStr">
        <is>
          <t>Sí</t>
        </is>
      </c>
      <c r="I41" t="inlineStr">
        <is>
          <t>seed</t>
        </is>
      </c>
    </row>
    <row r="42">
      <c r="A42" t="inlineStr">
        <is>
          <t>contractors</t>
        </is>
      </c>
      <c r="B42" t="inlineStr">
        <is>
          <t>agroganadera_maria_eugenia</t>
        </is>
      </c>
      <c r="C42" t="inlineStr">
        <is>
          <t>Agroganadera Maria Eugenia</t>
        </is>
      </c>
      <c r="D42" t="inlineStr">
        <is>
          <t>contractors</t>
        </is>
      </c>
      <c r="E42" t="inlineStr">
        <is>
          <t>ambiental</t>
        </is>
      </c>
      <c r="F42" t="inlineStr">
        <is>
          <t>Sí</t>
        </is>
      </c>
      <c r="G42" t="n">
        <v>3</v>
      </c>
      <c r="H42" t="inlineStr">
        <is>
          <t>Sí</t>
        </is>
      </c>
      <c r="I42" t="inlineStr">
        <is>
          <t>seed</t>
        </is>
      </c>
    </row>
    <row r="43">
      <c r="A43" t="inlineStr">
        <is>
          <t>contractors</t>
        </is>
      </c>
      <c r="B43" t="inlineStr">
        <is>
          <t>tecnoforestal</t>
        </is>
      </c>
      <c r="C43" t="inlineStr">
        <is>
          <t>Tecnoforestal</t>
        </is>
      </c>
      <c r="D43" t="inlineStr">
        <is>
          <t>contractors</t>
        </is>
      </c>
      <c r="E43" t="inlineStr">
        <is>
          <t>ambiental</t>
        </is>
      </c>
      <c r="F43" t="inlineStr">
        <is>
          <t>Sí</t>
        </is>
      </c>
      <c r="G43" t="n">
        <v>4</v>
      </c>
      <c r="H43" t="inlineStr">
        <is>
          <t>Sí</t>
        </is>
      </c>
      <c r="I43" t="inlineStr">
        <is>
          <t>seed</t>
        </is>
      </c>
    </row>
    <row r="44">
      <c r="A44" t="inlineStr">
        <is>
          <t>contractors</t>
        </is>
      </c>
      <c r="B44" t="inlineStr">
        <is>
          <t>plansur</t>
        </is>
      </c>
      <c r="C44" t="inlineStr">
        <is>
          <t>Plansur</t>
        </is>
      </c>
      <c r="D44" t="inlineStr">
        <is>
          <t>contractors</t>
        </is>
      </c>
      <c r="E44" t="inlineStr">
        <is>
          <t>ambiental</t>
        </is>
      </c>
      <c r="F44" t="inlineStr">
        <is>
          <t>Sí</t>
        </is>
      </c>
      <c r="G44" t="n">
        <v>5</v>
      </c>
      <c r="H44" t="inlineStr">
        <is>
          <t>Sí</t>
        </is>
      </c>
      <c r="I44" t="inlineStr">
        <is>
          <t>seed</t>
        </is>
      </c>
    </row>
    <row r="45">
      <c r="A45" t="inlineStr">
        <is>
          <t>contractors</t>
        </is>
      </c>
      <c r="B45" t="inlineStr">
        <is>
          <t>lusitana</t>
        </is>
      </c>
      <c r="C45" t="inlineStr">
        <is>
          <t>Lusitana</t>
        </is>
      </c>
      <c r="D45" t="inlineStr">
        <is>
          <t>contractors</t>
        </is>
      </c>
      <c r="E45" t="inlineStr">
        <is>
          <t>ambiental</t>
        </is>
      </c>
      <c r="F45" t="inlineStr">
        <is>
          <t>Sí</t>
        </is>
      </c>
      <c r="G45" t="n">
        <v>6</v>
      </c>
      <c r="H45" t="inlineStr">
        <is>
          <t>Sí</t>
        </is>
      </c>
      <c r="I45" t="inlineStr">
        <is>
          <t>seed</t>
        </is>
      </c>
    </row>
    <row r="46">
      <c r="A46" t="inlineStr">
        <is>
          <t>contractors</t>
        </is>
      </c>
      <c r="B46" t="inlineStr">
        <is>
          <t>oac_emprendimientos</t>
        </is>
      </c>
      <c r="C46" t="inlineStr">
        <is>
          <t>OAC Emprendimientos</t>
        </is>
      </c>
      <c r="D46" t="inlineStr">
        <is>
          <t>contractors</t>
        </is>
      </c>
      <c r="E46" t="inlineStr">
        <is>
          <t>ambiental</t>
        </is>
      </c>
      <c r="F46" t="inlineStr">
        <is>
          <t>Sí</t>
        </is>
      </c>
      <c r="G46" t="n">
        <v>7</v>
      </c>
      <c r="H46" t="inlineStr">
        <is>
          <t>Sí</t>
        </is>
      </c>
      <c r="I46" t="inlineStr">
        <is>
          <t>seed</t>
        </is>
      </c>
    </row>
    <row r="47">
      <c r="A47" t="inlineStr">
        <is>
          <t>contractors</t>
        </is>
      </c>
      <c r="B47" t="inlineStr">
        <is>
          <t>rancho_forestal</t>
        </is>
      </c>
      <c r="C47" t="inlineStr">
        <is>
          <t>Rancho Forestal</t>
        </is>
      </c>
      <c r="D47" t="inlineStr">
        <is>
          <t>contractors</t>
        </is>
      </c>
      <c r="E47" t="inlineStr">
        <is>
          <t>ambiental</t>
        </is>
      </c>
      <c r="F47" t="inlineStr">
        <is>
          <t>Sí</t>
        </is>
      </c>
      <c r="G47" t="n">
        <v>8</v>
      </c>
      <c r="H47" t="inlineStr">
        <is>
          <t>Sí</t>
        </is>
      </c>
      <c r="I47" t="inlineStr">
        <is>
          <t>seed</t>
        </is>
      </c>
    </row>
    <row r="48">
      <c r="A48" t="inlineStr">
        <is>
          <t>land_items</t>
        </is>
      </c>
      <c r="B48" t="inlineStr">
        <is>
          <t>Expediente 1</t>
        </is>
      </c>
      <c r="C48" t="inlineStr">
        <is>
          <t>Expediente 1</t>
        </is>
      </c>
      <c r="D48" t="inlineStr">
        <is>
          <t>land_items</t>
        </is>
      </c>
      <c r="F48" t="inlineStr">
        <is>
          <t>No</t>
        </is>
      </c>
      <c r="G48" t="n">
        <v>1</v>
      </c>
      <c r="H48" t="inlineStr">
        <is>
          <t>Sí</t>
        </is>
      </c>
      <c r="I48" t="inlineStr">
        <is>
          <t>seed</t>
        </is>
      </c>
    </row>
    <row r="49">
      <c r="A49" t="inlineStr">
        <is>
          <t>land_items</t>
        </is>
      </c>
      <c r="B49" t="inlineStr">
        <is>
          <t>Expediente 2</t>
        </is>
      </c>
      <c r="C49" t="inlineStr">
        <is>
          <t>Expediente 2</t>
        </is>
      </c>
      <c r="D49" t="inlineStr">
        <is>
          <t>land_items</t>
        </is>
      </c>
      <c r="F49" t="inlineStr">
        <is>
          <t>No</t>
        </is>
      </c>
      <c r="G49" t="n">
        <v>2</v>
      </c>
      <c r="H49" t="inlineStr">
        <is>
          <t>Sí</t>
        </is>
      </c>
      <c r="I49" t="inlineStr">
        <is>
          <t>seed</t>
        </is>
      </c>
    </row>
    <row r="50">
      <c r="A50" t="inlineStr">
        <is>
          <t>land_items</t>
        </is>
      </c>
      <c r="B50" t="inlineStr">
        <is>
          <t>Expediente 3</t>
        </is>
      </c>
      <c r="C50" t="inlineStr">
        <is>
          <t>Expediente 3</t>
        </is>
      </c>
      <c r="D50" t="inlineStr">
        <is>
          <t>land_items</t>
        </is>
      </c>
      <c r="F50" t="inlineStr">
        <is>
          <t>No</t>
        </is>
      </c>
      <c r="G50" t="n">
        <v>3</v>
      </c>
      <c r="H50" t="inlineStr">
        <is>
          <t>Sí</t>
        </is>
      </c>
      <c r="I50" t="inlineStr">
        <is>
          <t>seed</t>
        </is>
      </c>
    </row>
    <row r="51">
      <c r="A51" t="inlineStr">
        <is>
          <t>social_programs</t>
        </is>
      </c>
      <c r="B51" t="inlineStr">
        <is>
          <t>asistencia_m_dica</t>
        </is>
      </c>
      <c r="C51" t="inlineStr">
        <is>
          <t>Asistencia Médica</t>
        </is>
      </c>
      <c r="D51" t="inlineStr">
        <is>
          <t>social_programs</t>
        </is>
      </c>
      <c r="E51" t="inlineStr">
        <is>
          <t>comunicacion_social</t>
        </is>
      </c>
      <c r="F51" t="inlineStr">
        <is>
          <t>Sí</t>
        </is>
      </c>
      <c r="G51" t="n">
        <v>1</v>
      </c>
      <c r="H51" t="inlineStr">
        <is>
          <t>Sí</t>
        </is>
      </c>
      <c r="I51" t="inlineStr">
        <is>
          <t>seed</t>
        </is>
      </c>
    </row>
    <row r="52">
      <c r="A52" t="inlineStr">
        <is>
          <t>social_programs</t>
        </is>
      </c>
      <c r="B52" t="inlineStr">
        <is>
          <t>inmunizaciones_pai</t>
        </is>
      </c>
      <c r="C52" t="inlineStr">
        <is>
          <t>Inmunizaciones (PAI)</t>
        </is>
      </c>
      <c r="D52" t="inlineStr">
        <is>
          <t>social_programs</t>
        </is>
      </c>
      <c r="E52" t="inlineStr">
        <is>
          <t>comunicacion_social</t>
        </is>
      </c>
      <c r="F52" t="inlineStr">
        <is>
          <t>Sí</t>
        </is>
      </c>
      <c r="G52" t="n">
        <v>2</v>
      </c>
      <c r="H52" t="inlineStr">
        <is>
          <t>Sí</t>
        </is>
      </c>
      <c r="I52" t="inlineStr">
        <is>
          <t>seed</t>
        </is>
      </c>
    </row>
    <row r="53">
      <c r="A53" t="inlineStr">
        <is>
          <t>social_programs</t>
        </is>
      </c>
      <c r="B53" t="inlineStr">
        <is>
          <t>entrega_de_leche_fortificada_pani</t>
        </is>
      </c>
      <c r="C53" t="inlineStr">
        <is>
          <t>Entrega de Leche fortificada (PANI)</t>
        </is>
      </c>
      <c r="D53" t="inlineStr">
        <is>
          <t>social_programs</t>
        </is>
      </c>
      <c r="E53" t="inlineStr">
        <is>
          <t>comunicacion_social</t>
        </is>
      </c>
      <c r="F53" t="inlineStr">
        <is>
          <t>Sí</t>
        </is>
      </c>
      <c r="G53" t="n">
        <v>3</v>
      </c>
      <c r="H53" t="inlineStr">
        <is>
          <t>Sí</t>
        </is>
      </c>
      <c r="I53" t="inlineStr">
        <is>
          <t>seed</t>
        </is>
      </c>
    </row>
    <row r="54">
      <c r="A54" t="inlineStr">
        <is>
          <t>social_programs</t>
        </is>
      </c>
      <c r="B54" t="inlineStr">
        <is>
          <t>capacitaci_n_en_salud_sexual_y_reproductiva</t>
        </is>
      </c>
      <c r="C54" t="inlineStr">
        <is>
          <t>Capacitación en Salud Sexual y Reproductiva</t>
        </is>
      </c>
      <c r="D54" t="inlineStr">
        <is>
          <t>social_programs</t>
        </is>
      </c>
      <c r="E54" t="inlineStr">
        <is>
          <t>comunicacion_social</t>
        </is>
      </c>
      <c r="F54" t="inlineStr">
        <is>
          <t>Sí</t>
        </is>
      </c>
      <c r="G54" t="n">
        <v>4</v>
      </c>
      <c r="H54" t="inlineStr">
        <is>
          <t>Sí</t>
        </is>
      </c>
      <c r="I54" t="inlineStr">
        <is>
          <t>seed</t>
        </is>
      </c>
    </row>
    <row r="55">
      <c r="A55" t="inlineStr">
        <is>
          <t>social_programs</t>
        </is>
      </c>
      <c r="B55" t="inlineStr">
        <is>
          <t>acceso_a_agua_por_primera_vez</t>
        </is>
      </c>
      <c r="C55" t="inlineStr">
        <is>
          <t>Acceso a agua por primera vez</t>
        </is>
      </c>
      <c r="D55" t="inlineStr">
        <is>
          <t>social_programs</t>
        </is>
      </c>
      <c r="E55" t="inlineStr">
        <is>
          <t>comunicacion_social</t>
        </is>
      </c>
      <c r="F55" t="inlineStr">
        <is>
          <t>Sí</t>
        </is>
      </c>
      <c r="G55" t="n">
        <v>5</v>
      </c>
      <c r="H55" t="inlineStr">
        <is>
          <t>Sí</t>
        </is>
      </c>
      <c r="I55" t="inlineStr">
        <is>
          <t>seed</t>
        </is>
      </c>
    </row>
    <row r="56">
      <c r="A56" t="inlineStr">
        <is>
          <t>social_programs</t>
        </is>
      </c>
      <c r="B56" t="inlineStr">
        <is>
          <t>mejoramiento_de_infraestructura_escolar</t>
        </is>
      </c>
      <c r="C56" t="inlineStr">
        <is>
          <t>Mejoramiento de infraestructura escolar</t>
        </is>
      </c>
      <c r="D56" t="inlineStr">
        <is>
          <t>social_programs</t>
        </is>
      </c>
      <c r="E56" t="inlineStr">
        <is>
          <t>comunicacion_social</t>
        </is>
      </c>
      <c r="F56" t="inlineStr">
        <is>
          <t>Sí</t>
        </is>
      </c>
      <c r="G56" t="n">
        <v>6</v>
      </c>
      <c r="H56" t="inlineStr">
        <is>
          <t>Sí</t>
        </is>
      </c>
      <c r="I56" t="inlineStr">
        <is>
          <t>seed</t>
        </is>
      </c>
    </row>
    <row r="57">
      <c r="A57" t="inlineStr">
        <is>
          <t>social_programs</t>
        </is>
      </c>
      <c r="B57" t="inlineStr">
        <is>
          <t>acceso_a_energ_a_el_ctrica</t>
        </is>
      </c>
      <c r="C57" t="inlineStr">
        <is>
          <t>Acceso a energía eléctrica</t>
        </is>
      </c>
      <c r="D57" t="inlineStr">
        <is>
          <t>social_programs</t>
        </is>
      </c>
      <c r="E57" t="inlineStr">
        <is>
          <t>comunicacion_social</t>
        </is>
      </c>
      <c r="F57" t="inlineStr">
        <is>
          <t>Sí</t>
        </is>
      </c>
      <c r="G57" t="n">
        <v>7</v>
      </c>
      <c r="H57" t="inlineStr">
        <is>
          <t>Sí</t>
        </is>
      </c>
      <c r="I57" t="inlineStr">
        <is>
          <t>seed</t>
        </is>
      </c>
    </row>
    <row r="58">
      <c r="A58" t="inlineStr">
        <is>
          <t>social_programs</t>
        </is>
      </c>
      <c r="B58" t="inlineStr">
        <is>
          <t>agricultura_tn_de_alimentos_cosechados</t>
        </is>
      </c>
      <c r="C58" t="inlineStr">
        <is>
          <t>Agricultura (Tn de alimentos cosechados)</t>
        </is>
      </c>
      <c r="D58" t="inlineStr">
        <is>
          <t>social_programs</t>
        </is>
      </c>
      <c r="E58" t="inlineStr">
        <is>
          <t>comunicacion_social</t>
        </is>
      </c>
      <c r="F58" t="inlineStr">
        <is>
          <t>Sí</t>
        </is>
      </c>
      <c r="G58" t="n">
        <v>8</v>
      </c>
      <c r="H58" t="inlineStr">
        <is>
          <t>Sí</t>
        </is>
      </c>
      <c r="I58" t="inlineStr">
        <is>
          <t>seed</t>
        </is>
      </c>
    </row>
    <row r="59">
      <c r="A59" t="inlineStr">
        <is>
          <t>social_programs</t>
        </is>
      </c>
      <c r="B59" t="inlineStr">
        <is>
          <t>apicultura_litros_de_miel_cosechada</t>
        </is>
      </c>
      <c r="C59" t="inlineStr">
        <is>
          <t>Apicultura (litros de miel cosechada)</t>
        </is>
      </c>
      <c r="D59" t="inlineStr">
        <is>
          <t>social_programs</t>
        </is>
      </c>
      <c r="E59" t="inlineStr">
        <is>
          <t>comunicacion_social</t>
        </is>
      </c>
      <c r="F59" t="inlineStr">
        <is>
          <t>Sí</t>
        </is>
      </c>
      <c r="G59" t="n">
        <v>9</v>
      </c>
      <c r="H59" t="inlineStr">
        <is>
          <t>Sí</t>
        </is>
      </c>
      <c r="I59" t="inlineStr">
        <is>
          <t>seed</t>
        </is>
      </c>
    </row>
    <row r="60">
      <c r="A60" t="inlineStr">
        <is>
          <t>social_programs</t>
        </is>
      </c>
      <c r="B60" t="inlineStr">
        <is>
          <t>avicultura_aves_y_producci_n_de_pollitos_en_incubadoras</t>
        </is>
      </c>
      <c r="C60" t="inlineStr">
        <is>
          <t>Avicultura (aves y producción de pollitos en incubadoras)</t>
        </is>
      </c>
      <c r="D60" t="inlineStr">
        <is>
          <t>social_programs</t>
        </is>
      </c>
      <c r="E60" t="inlineStr">
        <is>
          <t>comunicacion_social</t>
        </is>
      </c>
      <c r="F60" t="inlineStr">
        <is>
          <t>Sí</t>
        </is>
      </c>
      <c r="G60" t="n">
        <v>10</v>
      </c>
      <c r="H60" t="inlineStr">
        <is>
          <t>Sí</t>
        </is>
      </c>
      <c r="I60" t="inlineStr">
        <is>
          <t>seed</t>
        </is>
      </c>
    </row>
    <row r="61">
      <c r="A61" t="inlineStr">
        <is>
          <t>social_programs</t>
        </is>
      </c>
      <c r="B61" t="inlineStr">
        <is>
          <t>peque_a_ganader_a_pastura_sembrada_y_kit_de_sanitaci_n_para_animales_mayores</t>
        </is>
      </c>
      <c r="C61" t="inlineStr">
        <is>
          <t>Pequeña ganadería (Pastura sembrada y kit de sanitación para animales mayores)</t>
        </is>
      </c>
      <c r="D61" t="inlineStr">
        <is>
          <t>social_programs</t>
        </is>
      </c>
      <c r="E61" t="inlineStr">
        <is>
          <t>comunicacion_social</t>
        </is>
      </c>
      <c r="F61" t="inlineStr">
        <is>
          <t>Sí</t>
        </is>
      </c>
      <c r="G61" t="n">
        <v>11</v>
      </c>
      <c r="H61" t="inlineStr">
        <is>
          <t>Sí</t>
        </is>
      </c>
      <c r="I61" t="inlineStr">
        <is>
          <t>seed</t>
        </is>
      </c>
    </row>
    <row r="62">
      <c r="A62" t="inlineStr">
        <is>
          <t>fomento_proveedores</t>
        </is>
      </c>
      <c r="B62" t="inlineStr">
        <is>
          <t>gvasa</t>
        </is>
      </c>
      <c r="C62" t="inlineStr">
        <is>
          <t>GVASA</t>
        </is>
      </c>
      <c r="D62" t="inlineStr">
        <is>
          <t>fomento_proveedores</t>
        </is>
      </c>
      <c r="E62" t="inlineStr">
        <is>
          <t>forestal_fomento</t>
        </is>
      </c>
      <c r="F62" t="inlineStr">
        <is>
          <t>Sí</t>
        </is>
      </c>
      <c r="G62" t="n">
        <v>1</v>
      </c>
      <c r="H62" t="inlineStr">
        <is>
          <t>Sí</t>
        </is>
      </c>
      <c r="I62" t="inlineStr">
        <is>
          <t>seed</t>
        </is>
      </c>
    </row>
    <row r="63">
      <c r="A63" t="inlineStr">
        <is>
          <t>fomento_proveedores</t>
        </is>
      </c>
      <c r="B63" t="inlineStr">
        <is>
          <t>genefor</t>
        </is>
      </c>
      <c r="C63" t="inlineStr">
        <is>
          <t>GENEFOR</t>
        </is>
      </c>
      <c r="D63" t="inlineStr">
        <is>
          <t>fomento_proveedores</t>
        </is>
      </c>
      <c r="E63" t="inlineStr">
        <is>
          <t>forestal_fomento</t>
        </is>
      </c>
      <c r="F63" t="inlineStr">
        <is>
          <t>Sí</t>
        </is>
      </c>
      <c r="G63" t="n">
        <v>2</v>
      </c>
      <c r="H63" t="inlineStr">
        <is>
          <t>Sí</t>
        </is>
      </c>
      <c r="I63" t="inlineStr">
        <is>
          <t>seed</t>
        </is>
      </c>
    </row>
    <row r="64">
      <c r="A64" t="inlineStr">
        <is>
          <t>fomento_proveedores</t>
        </is>
      </c>
      <c r="B64" t="inlineStr">
        <is>
          <t>madeplant</t>
        </is>
      </c>
      <c r="C64" t="inlineStr">
        <is>
          <t>MADEPLANT</t>
        </is>
      </c>
      <c r="D64" t="inlineStr">
        <is>
          <t>fomento_proveedores</t>
        </is>
      </c>
      <c r="E64" t="inlineStr">
        <is>
          <t>forestal_fomento</t>
        </is>
      </c>
      <c r="F64" t="inlineStr">
        <is>
          <t>Sí</t>
        </is>
      </c>
      <c r="G64" t="n">
        <v>3</v>
      </c>
      <c r="H64" t="inlineStr">
        <is>
          <t>Sí</t>
        </is>
      </c>
      <c r="I64" t="inlineStr">
        <is>
          <t>seed</t>
        </is>
      </c>
    </row>
    <row r="65">
      <c r="A65" t="inlineStr">
        <is>
          <t>fomento_proveedores</t>
        </is>
      </c>
      <c r="B65" t="inlineStr">
        <is>
          <t>f_azul_f_arandu</t>
        </is>
      </c>
      <c r="C65" t="inlineStr">
        <is>
          <t>F.AZUL/F.ARANDU</t>
        </is>
      </c>
      <c r="D65" t="inlineStr">
        <is>
          <t>fomento_proveedores</t>
        </is>
      </c>
      <c r="E65" t="inlineStr">
        <is>
          <t>forestal_fomento</t>
        </is>
      </c>
      <c r="F65" t="inlineStr">
        <is>
          <t>Sí</t>
        </is>
      </c>
      <c r="G65" t="n">
        <v>4</v>
      </c>
      <c r="H65" t="inlineStr">
        <is>
          <t>Sí</t>
        </is>
      </c>
      <c r="I65" t="inlineStr">
        <is>
          <t>seed</t>
        </is>
      </c>
    </row>
    <row r="66">
      <c r="A66" t="inlineStr">
        <is>
          <t>fomento_proveedores</t>
        </is>
      </c>
      <c r="B66" t="inlineStr">
        <is>
          <t>plansur</t>
        </is>
      </c>
      <c r="C66" t="inlineStr">
        <is>
          <t>PLANSUR</t>
        </is>
      </c>
      <c r="D66" t="inlineStr">
        <is>
          <t>fomento_proveedores</t>
        </is>
      </c>
      <c r="E66" t="inlineStr">
        <is>
          <t>forestal_fomento</t>
        </is>
      </c>
      <c r="F66" t="inlineStr">
        <is>
          <t>Sí</t>
        </is>
      </c>
      <c r="G66" t="n">
        <v>5</v>
      </c>
      <c r="H66" t="inlineStr">
        <is>
          <t>Sí</t>
        </is>
      </c>
      <c r="I66" t="inlineStr">
        <is>
          <t>seed</t>
        </is>
      </c>
    </row>
    <row r="67">
      <c r="A67" t="inlineStr">
        <is>
          <t>fomento_proveedores</t>
        </is>
      </c>
      <c r="B67" t="inlineStr">
        <is>
          <t>r5</t>
        </is>
      </c>
      <c r="C67" t="inlineStr">
        <is>
          <t>R5</t>
        </is>
      </c>
      <c r="D67" t="inlineStr">
        <is>
          <t>fomento_proveedores</t>
        </is>
      </c>
      <c r="E67" t="inlineStr">
        <is>
          <t>forestal_fomento</t>
        </is>
      </c>
      <c r="F67" t="inlineStr">
        <is>
          <t>Sí</t>
        </is>
      </c>
      <c r="G67" t="n">
        <v>6</v>
      </c>
      <c r="H67" t="inlineStr">
        <is>
          <t>Sí</t>
        </is>
      </c>
      <c r="I67" t="inlineStr">
        <is>
          <t>seed</t>
        </is>
      </c>
    </row>
    <row r="68">
      <c r="A68" t="inlineStr">
        <is>
          <t>fomento_proveedores</t>
        </is>
      </c>
      <c r="B68" t="inlineStr">
        <is>
          <t>silco</t>
        </is>
      </c>
      <c r="C68" t="inlineStr">
        <is>
          <t>SILCO</t>
        </is>
      </c>
      <c r="D68" t="inlineStr">
        <is>
          <t>fomento_proveedores</t>
        </is>
      </c>
      <c r="E68" t="inlineStr">
        <is>
          <t>forestal_fomento</t>
        </is>
      </c>
      <c r="F68" t="inlineStr">
        <is>
          <t>Sí</t>
        </is>
      </c>
      <c r="G68" t="n">
        <v>7</v>
      </c>
      <c r="H68" t="inlineStr">
        <is>
          <t>Sí</t>
        </is>
      </c>
      <c r="I68" t="inlineStr">
        <is>
          <t>seed</t>
        </is>
      </c>
    </row>
    <row r="69">
      <c r="A69" t="inlineStr">
        <is>
          <t>fomento_proveedores</t>
        </is>
      </c>
      <c r="B69" t="inlineStr">
        <is>
          <t>gnf</t>
        </is>
      </c>
      <c r="C69" t="inlineStr">
        <is>
          <t>GNF</t>
        </is>
      </c>
      <c r="D69" t="inlineStr">
        <is>
          <t>fomento_proveedores</t>
        </is>
      </c>
      <c r="E69" t="inlineStr">
        <is>
          <t>forestal_fomento</t>
        </is>
      </c>
      <c r="F69" t="inlineStr">
        <is>
          <t>Sí</t>
        </is>
      </c>
      <c r="G69" t="n">
        <v>8</v>
      </c>
      <c r="H69" t="inlineStr">
        <is>
          <t>Sí</t>
        </is>
      </c>
      <c r="I69" t="inlineStr">
        <is>
          <t>seed</t>
        </is>
      </c>
    </row>
    <row r="70">
      <c r="A70" t="inlineStr">
        <is>
          <t>fomento_proveedores</t>
        </is>
      </c>
      <c r="B70" t="inlineStr">
        <is>
          <t>roza</t>
        </is>
      </c>
      <c r="C70" t="inlineStr">
        <is>
          <t>ROZA</t>
        </is>
      </c>
      <c r="D70" t="inlineStr">
        <is>
          <t>fomento_proveedores</t>
        </is>
      </c>
      <c r="E70" t="inlineStr">
        <is>
          <t>forestal_fomento</t>
        </is>
      </c>
      <c r="F70" t="inlineStr">
        <is>
          <t>Sí</t>
        </is>
      </c>
      <c r="G70" t="n">
        <v>9</v>
      </c>
      <c r="H70" t="inlineStr">
        <is>
          <t>Sí</t>
        </is>
      </c>
      <c r="I70" t="inlineStr">
        <is>
          <t>seed</t>
        </is>
      </c>
    </row>
    <row r="71">
      <c r="A71" t="inlineStr">
        <is>
          <t>fomento_proveedores</t>
        </is>
      </c>
      <c r="B71" t="inlineStr">
        <is>
          <t>green_tec</t>
        </is>
      </c>
      <c r="C71" t="inlineStr">
        <is>
          <t>GREEN TEC</t>
        </is>
      </c>
      <c r="D71" t="inlineStr">
        <is>
          <t>fomento_proveedores</t>
        </is>
      </c>
      <c r="E71" t="inlineStr">
        <is>
          <t>forestal_fomento</t>
        </is>
      </c>
      <c r="F71" t="inlineStr">
        <is>
          <t>Sí</t>
        </is>
      </c>
      <c r="G71" t="n">
        <v>10</v>
      </c>
      <c r="H71" t="inlineStr">
        <is>
          <t>Sí</t>
        </is>
      </c>
      <c r="I71" t="inlineStr">
        <is>
          <t>seed</t>
        </is>
      </c>
    </row>
    <row r="72">
      <c r="A72" t="inlineStr">
        <is>
          <t>fomento_proveedores</t>
        </is>
      </c>
      <c r="B72" t="inlineStr">
        <is>
          <t>diego_garcia</t>
        </is>
      </c>
      <c r="C72" t="inlineStr">
        <is>
          <t>DIEGO GARCIA</t>
        </is>
      </c>
      <c r="D72" t="inlineStr">
        <is>
          <t>fomento_proveedores</t>
        </is>
      </c>
      <c r="E72" t="inlineStr">
        <is>
          <t>forestal_fomento</t>
        </is>
      </c>
      <c r="F72" t="inlineStr">
        <is>
          <t>Sí</t>
        </is>
      </c>
      <c r="G72" t="n">
        <v>11</v>
      </c>
      <c r="H72" t="inlineStr">
        <is>
          <t>Sí</t>
        </is>
      </c>
      <c r="I72" t="inlineStr">
        <is>
          <t>seed</t>
        </is>
      </c>
    </row>
    <row r="73">
      <c r="A73" t="inlineStr">
        <is>
          <t>fomento_proveedores</t>
        </is>
      </c>
      <c r="B73" t="inlineStr">
        <is>
          <t>luis_villalba</t>
        </is>
      </c>
      <c r="C73" t="inlineStr">
        <is>
          <t>LUIS VILLALBA</t>
        </is>
      </c>
      <c r="D73" t="inlineStr">
        <is>
          <t>fomento_proveedores</t>
        </is>
      </c>
      <c r="E73" t="inlineStr">
        <is>
          <t>forestal_fomento</t>
        </is>
      </c>
      <c r="F73" t="inlineStr">
        <is>
          <t>Sí</t>
        </is>
      </c>
      <c r="G73" t="n">
        <v>12</v>
      </c>
      <c r="H73" t="inlineStr">
        <is>
          <t>Sí</t>
        </is>
      </c>
      <c r="I73" t="inlineStr">
        <is>
          <t>seed</t>
        </is>
      </c>
    </row>
    <row r="74">
      <c r="A74" t="inlineStr">
        <is>
          <t>land_states</t>
        </is>
      </c>
      <c r="B74" t="inlineStr">
        <is>
          <t>finalizado</t>
        </is>
      </c>
      <c r="C74" t="inlineStr">
        <is>
          <t>Finalizado</t>
        </is>
      </c>
      <c r="D74" t="inlineStr">
        <is>
          <t>land_states</t>
        </is>
      </c>
      <c r="E74" t="inlineStr">
        <is>
          <t>finanzas</t>
        </is>
      </c>
      <c r="F74" t="inlineStr">
        <is>
          <t>Sí</t>
        </is>
      </c>
      <c r="G74" t="n">
        <v>1</v>
      </c>
      <c r="H74" t="inlineStr">
        <is>
          <t>Sí</t>
        </is>
      </c>
      <c r="I74" t="inlineStr">
        <is>
          <t>seed</t>
        </is>
      </c>
    </row>
    <row r="75">
      <c r="A75" t="inlineStr">
        <is>
          <t>land_states</t>
        </is>
      </c>
      <c r="B75" t="inlineStr">
        <is>
          <t>en_proceso</t>
        </is>
      </c>
      <c r="C75" t="inlineStr">
        <is>
          <t>En proceso</t>
        </is>
      </c>
      <c r="D75" t="inlineStr">
        <is>
          <t>land_states</t>
        </is>
      </c>
      <c r="E75" t="inlineStr">
        <is>
          <t>finanzas</t>
        </is>
      </c>
      <c r="F75" t="inlineStr">
        <is>
          <t>Sí</t>
        </is>
      </c>
      <c r="G75" t="n">
        <v>2</v>
      </c>
      <c r="H75" t="inlineStr">
        <is>
          <t>Sí</t>
        </is>
      </c>
      <c r="I75" t="inlineStr">
        <is>
          <t>seed</t>
        </is>
      </c>
    </row>
    <row r="76">
      <c r="A76" t="inlineStr">
        <is>
          <t>land_states</t>
        </is>
      </c>
      <c r="B76" t="inlineStr">
        <is>
          <t>en_revisi_n</t>
        </is>
      </c>
      <c r="C76" t="inlineStr">
        <is>
          <t>En revisión</t>
        </is>
      </c>
      <c r="D76" t="inlineStr">
        <is>
          <t>land_states</t>
        </is>
      </c>
      <c r="E76" t="inlineStr">
        <is>
          <t>finanzas</t>
        </is>
      </c>
      <c r="F76" t="inlineStr">
        <is>
          <t>Sí</t>
        </is>
      </c>
      <c r="G76" t="n">
        <v>3</v>
      </c>
      <c r="H76" t="inlineStr">
        <is>
          <t>Sí</t>
        </is>
      </c>
      <c r="I76" t="inlineStr">
        <is>
          <t>seed</t>
        </is>
      </c>
    </row>
    <row r="77">
      <c r="A77" t="inlineStr">
        <is>
          <t>canales_digitales</t>
        </is>
      </c>
      <c r="B77" t="inlineStr">
        <is>
          <t>instagram</t>
        </is>
      </c>
      <c r="C77" t="inlineStr">
        <is>
          <t>Instagram</t>
        </is>
      </c>
      <c r="D77" t="inlineStr">
        <is>
          <t>canales_digitales</t>
        </is>
      </c>
      <c r="E77" t="inlineStr">
        <is>
          <t>comunicacion_social</t>
        </is>
      </c>
      <c r="F77" t="inlineStr">
        <is>
          <t>Sí</t>
        </is>
      </c>
      <c r="G77" t="n">
        <v>1</v>
      </c>
      <c r="H77" t="inlineStr">
        <is>
          <t>Sí</t>
        </is>
      </c>
      <c r="I77" t="inlineStr">
        <is>
          <t>seed</t>
        </is>
      </c>
    </row>
    <row r="78">
      <c r="A78" t="inlineStr">
        <is>
          <t>canales_digitales</t>
        </is>
      </c>
      <c r="B78" t="inlineStr">
        <is>
          <t>facebook</t>
        </is>
      </c>
      <c r="C78" t="inlineStr">
        <is>
          <t>Facebook</t>
        </is>
      </c>
      <c r="D78" t="inlineStr">
        <is>
          <t>canales_digitales</t>
        </is>
      </c>
      <c r="E78" t="inlineStr">
        <is>
          <t>comunicacion_social</t>
        </is>
      </c>
      <c r="F78" t="inlineStr">
        <is>
          <t>Sí</t>
        </is>
      </c>
      <c r="G78" t="n">
        <v>2</v>
      </c>
      <c r="H78" t="inlineStr">
        <is>
          <t>Sí</t>
        </is>
      </c>
      <c r="I78" t="inlineStr">
        <is>
          <t>seed</t>
        </is>
      </c>
    </row>
    <row r="79">
      <c r="A79" t="inlineStr">
        <is>
          <t>canales_digitales</t>
        </is>
      </c>
      <c r="B79" t="inlineStr">
        <is>
          <t>linkedin</t>
        </is>
      </c>
      <c r="C79" t="inlineStr">
        <is>
          <t>LinkedIn</t>
        </is>
      </c>
      <c r="D79" t="inlineStr">
        <is>
          <t>canales_digitales</t>
        </is>
      </c>
      <c r="E79" t="inlineStr">
        <is>
          <t>comunicacion_social</t>
        </is>
      </c>
      <c r="F79" t="inlineStr">
        <is>
          <t>Sí</t>
        </is>
      </c>
      <c r="G79" t="n">
        <v>3</v>
      </c>
      <c r="H79" t="inlineStr">
        <is>
          <t>Sí</t>
        </is>
      </c>
      <c r="I79" t="inlineStr">
        <is>
          <t>seed</t>
        </is>
      </c>
    </row>
    <row r="80">
      <c r="A80" t="inlineStr">
        <is>
          <t>canales_digitales</t>
        </is>
      </c>
      <c r="B80" t="inlineStr">
        <is>
          <t>web</t>
        </is>
      </c>
      <c r="C80" t="inlineStr">
        <is>
          <t>Sitio web</t>
        </is>
      </c>
      <c r="D80" t="inlineStr">
        <is>
          <t>canales_digitales</t>
        </is>
      </c>
      <c r="E80" t="inlineStr">
        <is>
          <t>comunicacion_social</t>
        </is>
      </c>
      <c r="F80" t="inlineStr">
        <is>
          <t>Sí</t>
        </is>
      </c>
      <c r="G80" t="n">
        <v>4</v>
      </c>
      <c r="H80" t="inlineStr">
        <is>
          <t>Sí</t>
        </is>
      </c>
      <c r="I80" t="inlineStr">
        <is>
          <t>seed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6" customWidth="1" min="2" max="2"/>
    <col width="12" customWidth="1" min="3" max="3"/>
    <col width="11" customWidth="1" min="4" max="4"/>
    <col width="19" customWidth="1" min="5" max="5"/>
    <col width="17" customWidth="1" min="6" max="6"/>
    <col width="14" customWidth="1" min="7" max="7"/>
    <col width="13" customWidth="1" min="8" max="8"/>
    <col width="13" customWidth="1" min="9" max="9"/>
  </cols>
  <sheetData>
    <row r="1">
      <c r="A1" s="43" t="inlineStr">
        <is>
          <t>ADJUNTOS</t>
        </is>
      </c>
    </row>
    <row r="2"/>
    <row r="3"/>
    <row r="4" ht="24" customHeight="1">
      <c r="A4" s="42" t="inlineStr">
        <is>
          <t>attachment_id</t>
        </is>
      </c>
      <c r="B4" s="42" t="inlineStr">
        <is>
          <t>submission_key</t>
        </is>
      </c>
      <c r="C4" s="42" t="inlineStr">
        <is>
          <t>period_key</t>
        </is>
      </c>
      <c r="D4" s="42" t="inlineStr">
        <is>
          <t>area_code</t>
        </is>
      </c>
      <c r="E4" s="42" t="inlineStr">
        <is>
          <t>original_filename</t>
        </is>
      </c>
      <c r="F4" s="42" t="inlineStr">
        <is>
          <t>stored_filename</t>
        </is>
      </c>
      <c r="G4" s="42" t="inlineStr">
        <is>
          <t>content_type</t>
        </is>
      </c>
      <c r="H4" s="42" t="inlineStr">
        <is>
          <t>uploaded_by</t>
        </is>
      </c>
      <c r="I4" s="42" t="inlineStr">
        <is>
          <t>uploaded_at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1" customWidth="1" min="3" max="3"/>
    <col width="18" customWidth="1" min="4" max="4"/>
    <col width="16" customWidth="1" min="5" max="5"/>
    <col width="10" customWidth="1" min="6" max="6"/>
  </cols>
  <sheetData>
    <row r="1">
      <c r="A1" s="43" t="inlineStr">
        <is>
          <t>NARRATIVAS</t>
        </is>
      </c>
    </row>
    <row r="2"/>
    <row r="3"/>
    <row r="4" ht="24" customHeight="1">
      <c r="A4" s="42" t="inlineStr">
        <is>
          <t>submission_key</t>
        </is>
      </c>
      <c r="B4" s="42" t="inlineStr">
        <is>
          <t>period_key</t>
        </is>
      </c>
      <c r="C4" s="42" t="inlineStr">
        <is>
          <t>area_code</t>
        </is>
      </c>
      <c r="D4" s="42" t="inlineStr">
        <is>
          <t>responsible_user</t>
        </is>
      </c>
      <c r="E4" s="42" t="inlineStr">
        <is>
          <t>narrative_text</t>
        </is>
      </c>
      <c r="F4" s="42" t="inlineStr">
        <is>
          <t>comments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12" customWidth="1" min="3" max="3"/>
  </cols>
  <sheetData>
    <row r="1">
      <c r="A1" s="43" t="inlineStr">
        <is>
          <t>CAT_SETTINGS</t>
        </is>
      </c>
    </row>
    <row r="2"/>
    <row r="3"/>
    <row r="4" ht="24" customHeight="1">
      <c r="A4" s="42" t="inlineStr">
        <is>
          <t>setting_key</t>
        </is>
      </c>
      <c r="B4" s="42" t="inlineStr">
        <is>
          <t>setting_value</t>
        </is>
      </c>
      <c r="C4" s="42" t="inlineStr">
        <is>
          <t>updated_at</t>
        </is>
      </c>
    </row>
    <row r="5">
      <c r="A5" t="inlineStr">
        <is>
          <t>logo_filename</t>
        </is>
      </c>
      <c r="B5" t="inlineStr">
        <is>
          <t>img/logo_paracel.png</t>
        </is>
      </c>
    </row>
    <row r="6">
      <c r="A6" t="inlineStr">
        <is>
          <t>reminder_day</t>
        </is>
      </c>
      <c r="B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terms:created xmlns:dcterms="http://purl.org/dc/terms/" xmlns:xsi="http://www.w3.org/2001/XMLSchema-instance" xsi:type="dcterms:W3CDTF">2026-03-26T15:44:31Z</dcterms:created>
  <dcterms:modified xmlns:dcterms="http://purl.org/dc/terms/" xmlns:xsi="http://www.w3.org/2001/XMLSchema-instance" xsi:type="dcterms:W3CDTF">2026-03-26T16:48:53Z</dcterms:modified>
</cp:coreProperties>
</file>